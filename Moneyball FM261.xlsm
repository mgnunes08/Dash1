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lan\Documents\Save\PLANILHA\"/>
    </mc:Choice>
  </mc:AlternateContent>
  <xr:revisionPtr revIDLastSave="0" documentId="13_ncr:1_{FACA297E-DDAE-42A2-82C8-78E5184F2E0E}" xr6:coauthVersionLast="47" xr6:coauthVersionMax="47" xr10:uidLastSave="{00000000-0000-0000-0000-000000000000}"/>
  <bookViews>
    <workbookView xWindow="-120" yWindow="-120" windowWidth="29040" windowHeight="15720" tabRatio="700" xr2:uid="{00000000-000D-0000-FFFF-FFFF00000000}"/>
  </bookViews>
  <sheets>
    <sheet name="🧤Goleiros" sheetId="17" r:id="rId1"/>
    <sheet name="🧱Zagueiros" sheetId="16" r:id="rId2"/>
    <sheet name="🛡️Laterais" sheetId="6" r:id="rId3"/>
    <sheet name="🛡️Volantes" sheetId="11" r:id="rId4"/>
    <sheet name="🏃‍♂️Box-To-Box" sheetId="14" r:id="rId5"/>
    <sheet name="🎯Armadores" sheetId="2" r:id="rId6"/>
    <sheet name="⚽Avançados" sheetId="10" r:id="rId7"/>
    <sheet name="📊Time Estatísticas" sheetId="18" r:id="rId8"/>
    <sheet name="💪Placar de Esforço" sheetId="19" r:id="rId9"/>
    <sheet name="🔍Overall Análise" sheetId="15" r:id="rId10"/>
  </sheets>
  <definedNames>
    <definedName name="_xlnm._FilterDatabase" localSheetId="6" hidden="1">'⚽Avançados'!$B$1:$GJ$1</definedName>
    <definedName name="_xlnm._FilterDatabase" localSheetId="5" hidden="1">'🎯Armadores'!$B$1:$EY$1</definedName>
    <definedName name="_xlnm._FilterDatabase" localSheetId="4" hidden="1">'🏃‍♂️Box-To-Box'!$B$1:$FP$828</definedName>
    <definedName name="_xlnm._FilterDatabase" localSheetId="8" hidden="1">'💪Placar de Esforço'!$C$1:$AS$1</definedName>
    <definedName name="_xlnm._FilterDatabase" localSheetId="7" hidden="1">'📊Time Estatísticas'!$E$1:$CV$28</definedName>
    <definedName name="_xlnm._FilterDatabase" localSheetId="9" hidden="1">'🔍Overall Análise'!$B$1:$GM$1</definedName>
    <definedName name="_xlnm._FilterDatabase" localSheetId="2" hidden="1">'🛡️Laterais'!$B$1:$FD$6</definedName>
    <definedName name="_xlnm._FilterDatabase" localSheetId="3" hidden="1">'🛡️Volantes'!$B$1:$EZ$414</definedName>
    <definedName name="_xlnm._FilterDatabase" localSheetId="0" hidden="1">'🧤Goleiros'!$E$1:$DW$1</definedName>
    <definedName name="_xlnm._FilterDatabase" localSheetId="1" hidden="1">'🧱Zagueiros'!$B$1:$GD$1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H11" i="17" l="1"/>
  <c r="DW3" i="16"/>
  <c r="DW4" i="16"/>
  <c r="DW5" i="16"/>
  <c r="DW6" i="16"/>
  <c r="DW7" i="16"/>
  <c r="DW8" i="16"/>
  <c r="DW9" i="16"/>
  <c r="DW10" i="16"/>
  <c r="DW11" i="16"/>
  <c r="DW2" i="16"/>
  <c r="CT3" i="6"/>
  <c r="CT4" i="6"/>
  <c r="CT5" i="6"/>
  <c r="CT6" i="6"/>
  <c r="CT7" i="6"/>
  <c r="CT8" i="6"/>
  <c r="CT9" i="6"/>
  <c r="CT10" i="6"/>
  <c r="CT11" i="6"/>
  <c r="CT2" i="6"/>
  <c r="B7" i="17"/>
  <c r="C7" i="17"/>
  <c r="D7" i="17"/>
  <c r="E7" i="17"/>
  <c r="F7" i="17"/>
  <c r="G7" i="17"/>
  <c r="H7" i="17"/>
  <c r="I7" i="17"/>
  <c r="J7" i="17"/>
  <c r="L7" i="17"/>
  <c r="M7" i="17"/>
  <c r="N7" i="17" s="1"/>
  <c r="P7" i="17"/>
  <c r="Q7" i="17"/>
  <c r="X7" i="17"/>
  <c r="Z7" i="17"/>
  <c r="AC7" i="17"/>
  <c r="AE7" i="17"/>
  <c r="AH7" i="17"/>
  <c r="AK7" i="17"/>
  <c r="AO7" i="17"/>
  <c r="AQ7" i="17"/>
  <c r="AS7" i="17"/>
  <c r="AY7" i="17"/>
  <c r="AZ7" i="17"/>
  <c r="BA7" i="17"/>
  <c r="BB7" i="17"/>
  <c r="BH7" i="17"/>
  <c r="BJ7" i="17"/>
  <c r="BL7" i="17"/>
  <c r="BM7" i="17"/>
  <c r="BN7" i="17"/>
  <c r="BP7" i="17"/>
  <c r="BS7" i="17"/>
  <c r="BU7" i="17"/>
  <c r="BV7" i="17"/>
  <c r="BX7" i="17"/>
  <c r="BZ7" i="17"/>
  <c r="CC7" i="17"/>
  <c r="CD7" i="17"/>
  <c r="CF7" i="17"/>
  <c r="CG7" i="17"/>
  <c r="CH7" i="17"/>
  <c r="CI7" i="17"/>
  <c r="CL7" i="17"/>
  <c r="AF3" i="11"/>
  <c r="AF4" i="11"/>
  <c r="AF5" i="11"/>
  <c r="AF6" i="11"/>
  <c r="AF7" i="11"/>
  <c r="AF8" i="11"/>
  <c r="AF9" i="11"/>
  <c r="AF10" i="11"/>
  <c r="AF11" i="11"/>
  <c r="AF2" i="11"/>
  <c r="AE3" i="11"/>
  <c r="AE4" i="11"/>
  <c r="AE5" i="11"/>
  <c r="AE6" i="11"/>
  <c r="AE7" i="11"/>
  <c r="AE8" i="11"/>
  <c r="AE9" i="11"/>
  <c r="AE10" i="11"/>
  <c r="AE11" i="11"/>
  <c r="AE2" i="11"/>
  <c r="A7" i="10"/>
  <c r="B10" i="10"/>
  <c r="C10" i="10"/>
  <c r="D10" i="10"/>
  <c r="E10" i="10"/>
  <c r="F10" i="10"/>
  <c r="G10" i="10"/>
  <c r="H10" i="10"/>
  <c r="I10" i="10"/>
  <c r="J10" i="10"/>
  <c r="L10" i="10"/>
  <c r="DY10" i="10" s="1"/>
  <c r="M10" i="10"/>
  <c r="N10" i="10" s="1"/>
  <c r="O10" i="10"/>
  <c r="P10" i="10"/>
  <c r="Q10" i="10"/>
  <c r="U10" i="10"/>
  <c r="V10" i="10" s="1"/>
  <c r="X10" i="10"/>
  <c r="Y10" i="10"/>
  <c r="Z10" i="10"/>
  <c r="CE10" i="10" s="1"/>
  <c r="AA10" i="10"/>
  <c r="AB10" i="10"/>
  <c r="AC10" i="10"/>
  <c r="AD10" i="10"/>
  <c r="AE10" i="10"/>
  <c r="AF10" i="10"/>
  <c r="AN10" i="10"/>
  <c r="AP10" i="10"/>
  <c r="AQ10" i="10"/>
  <c r="AR10" i="10"/>
  <c r="AS10" i="10"/>
  <c r="AT10" i="10"/>
  <c r="AU10" i="10"/>
  <c r="AV10" i="10"/>
  <c r="AW10" i="10"/>
  <c r="AX10" i="10"/>
  <c r="BA10" i="10"/>
  <c r="BB10" i="10"/>
  <c r="BD10" i="10" s="1"/>
  <c r="BE10" i="10"/>
  <c r="BH10" i="10"/>
  <c r="BI10" i="10"/>
  <c r="BJ10" i="10"/>
  <c r="BK10" i="10"/>
  <c r="BL10" i="10"/>
  <c r="BM10" i="10" s="1"/>
  <c r="BN10" i="10"/>
  <c r="BO10" i="10" s="1"/>
  <c r="BP10" i="10"/>
  <c r="BQ10" i="10" s="1"/>
  <c r="BR10" i="10"/>
  <c r="BS10" i="10"/>
  <c r="BT10" i="10"/>
  <c r="BU10" i="10"/>
  <c r="BV10" i="10"/>
  <c r="CB10" i="10"/>
  <c r="CC10" i="10"/>
  <c r="CD10" i="10"/>
  <c r="CH10" i="10"/>
  <c r="CF10" i="10" s="1"/>
  <c r="CI10" i="10"/>
  <c r="CL10" i="10"/>
  <c r="CS10" i="10" s="1"/>
  <c r="CQ10" i="10"/>
  <c r="CU10" i="10"/>
  <c r="CV10" i="10" s="1"/>
  <c r="CW10" i="10"/>
  <c r="CX10" i="10" s="1"/>
  <c r="CZ10" i="10"/>
  <c r="DC10" i="10"/>
  <c r="EE10" i="10" s="1"/>
  <c r="EF10" i="10" s="1"/>
  <c r="DE10" i="10"/>
  <c r="DF10" i="10" s="1"/>
  <c r="DG10" i="10"/>
  <c r="DH10" i="10"/>
  <c r="DI10" i="10" s="1"/>
  <c r="DJ10" i="10"/>
  <c r="DK10" i="10" s="1"/>
  <c r="DL10" i="10"/>
  <c r="DM10" i="10" s="1"/>
  <c r="DO10" i="10"/>
  <c r="DR10" i="10"/>
  <c r="DS10" i="10" s="1"/>
  <c r="DU10" i="10"/>
  <c r="DT10" i="10" s="1"/>
  <c r="DZ10" i="10"/>
  <c r="EB10" i="10"/>
  <c r="EG10" i="10"/>
  <c r="EH10" i="10" s="1"/>
  <c r="EI10" i="10"/>
  <c r="EJ10" i="10" s="1"/>
  <c r="EK10" i="10"/>
  <c r="EL10" i="10"/>
  <c r="A8" i="10"/>
  <c r="B2" i="10"/>
  <c r="C2" i="10"/>
  <c r="D2" i="10"/>
  <c r="E2" i="10"/>
  <c r="F2" i="10"/>
  <c r="G2" i="10"/>
  <c r="H2" i="10"/>
  <c r="I2" i="10"/>
  <c r="J2" i="10"/>
  <c r="L2" i="10"/>
  <c r="AJ2" i="10" s="1"/>
  <c r="M2" i="10"/>
  <c r="N2" i="10" s="1"/>
  <c r="O2" i="10"/>
  <c r="P2" i="10"/>
  <c r="Q2" i="10"/>
  <c r="R2" i="10"/>
  <c r="U2" i="10"/>
  <c r="V2" i="10" s="1"/>
  <c r="X2" i="10"/>
  <c r="AH2" i="10" s="1"/>
  <c r="Y2" i="10"/>
  <c r="AI2" i="10" s="1"/>
  <c r="Z2" i="10"/>
  <c r="CE2" i="10" s="1"/>
  <c r="AA2" i="10"/>
  <c r="AL2" i="10" s="1"/>
  <c r="AB2" i="10"/>
  <c r="AM2" i="10" s="1"/>
  <c r="AO2" i="10" s="1"/>
  <c r="AD2" i="10"/>
  <c r="AN2" i="10"/>
  <c r="AP2" i="10"/>
  <c r="AQ2" i="10"/>
  <c r="AR2" i="10"/>
  <c r="AT2" i="10" s="1"/>
  <c r="AS2" i="10"/>
  <c r="AU2" i="10"/>
  <c r="AV2" i="10"/>
  <c r="AW2" i="10"/>
  <c r="AY2" i="10" s="1"/>
  <c r="AX2" i="10"/>
  <c r="BA2" i="10"/>
  <c r="BB2" i="10"/>
  <c r="BD2" i="10" s="1"/>
  <c r="BE2" i="10"/>
  <c r="BF2" i="10"/>
  <c r="BG2" i="10" s="1"/>
  <c r="BH2" i="10"/>
  <c r="BJ2" i="10"/>
  <c r="BK2" i="10" s="1"/>
  <c r="BL2" i="10"/>
  <c r="BM2" i="10"/>
  <c r="BN2" i="10"/>
  <c r="BO2" i="10" s="1"/>
  <c r="BP2" i="10"/>
  <c r="BQ2" i="10" s="1"/>
  <c r="BR2" i="10"/>
  <c r="BS2" i="10"/>
  <c r="BT2" i="10"/>
  <c r="BU2" i="10"/>
  <c r="BV2" i="10"/>
  <c r="BX2" i="10"/>
  <c r="BY2" i="10"/>
  <c r="CB2" i="10"/>
  <c r="CC2" i="10"/>
  <c r="CD2" i="10"/>
  <c r="CH2" i="10"/>
  <c r="CF2" i="10" s="1"/>
  <c r="CJ2" i="10"/>
  <c r="CG2" i="10" s="1"/>
  <c r="CL2" i="10"/>
  <c r="CN2" i="10" s="1"/>
  <c r="CO2" i="10" s="1"/>
  <c r="CQ2" i="10"/>
  <c r="CR2" i="10" s="1"/>
  <c r="CT2" i="10"/>
  <c r="CU2" i="10"/>
  <c r="CW2" i="10"/>
  <c r="CY2" i="10"/>
  <c r="CZ2" i="10"/>
  <c r="DC2" i="10"/>
  <c r="EE2" i="10" s="1"/>
  <c r="EF2" i="10" s="1"/>
  <c r="DE2" i="10"/>
  <c r="DH2" i="10"/>
  <c r="DI2" i="10"/>
  <c r="DJ2" i="10"/>
  <c r="DK2" i="10" s="1"/>
  <c r="DL2" i="10"/>
  <c r="DM2" i="10" s="1"/>
  <c r="DO2" i="10"/>
  <c r="DP2" i="10"/>
  <c r="DQ2" i="10" s="1"/>
  <c r="DR2" i="10"/>
  <c r="DS2" i="10" s="1"/>
  <c r="DU2" i="10"/>
  <c r="DT2" i="10" s="1"/>
  <c r="DY2" i="10"/>
  <c r="DZ2" i="10"/>
  <c r="EA2" i="10" s="1"/>
  <c r="EB2" i="10"/>
  <c r="EC2" i="10" s="1"/>
  <c r="EG2" i="10"/>
  <c r="EH2" i="10"/>
  <c r="EI2" i="10"/>
  <c r="EK2" i="10"/>
  <c r="EL2" i="10"/>
  <c r="A9" i="10"/>
  <c r="B8" i="10"/>
  <c r="C8" i="10"/>
  <c r="D8" i="10"/>
  <c r="E8" i="10"/>
  <c r="F8" i="10"/>
  <c r="G8" i="10"/>
  <c r="H8" i="10"/>
  <c r="I8" i="10"/>
  <c r="J8" i="10"/>
  <c r="L8" i="10"/>
  <c r="CD8" i="10" s="1"/>
  <c r="M8" i="10"/>
  <c r="N8" i="10" s="1"/>
  <c r="O8" i="10"/>
  <c r="P8" i="10"/>
  <c r="Q8" i="10"/>
  <c r="U8" i="10"/>
  <c r="W8" i="10" s="1"/>
  <c r="V8" i="10"/>
  <c r="X8" i="10"/>
  <c r="S8" i="10" s="1"/>
  <c r="Y8" i="10"/>
  <c r="T8" i="10" s="1"/>
  <c r="AA8" i="10"/>
  <c r="AL8" i="10" s="1"/>
  <c r="AB8" i="10"/>
  <c r="AD8" i="10"/>
  <c r="AI8" i="10"/>
  <c r="AJ8" i="10"/>
  <c r="AN8" i="10"/>
  <c r="AP8" i="10"/>
  <c r="AR8" i="10"/>
  <c r="AT8" i="10" s="1"/>
  <c r="AU8" i="10"/>
  <c r="AV8" i="10"/>
  <c r="AW8" i="10"/>
  <c r="AY8" i="10" s="1"/>
  <c r="AX8" i="10"/>
  <c r="BA8" i="10"/>
  <c r="BC8" i="10" s="1"/>
  <c r="BB8" i="10"/>
  <c r="BE8" i="10"/>
  <c r="BH8" i="10"/>
  <c r="BI8" i="10"/>
  <c r="BJ8" i="10"/>
  <c r="BL8" i="10"/>
  <c r="BM8" i="10" s="1"/>
  <c r="BN8" i="10"/>
  <c r="BO8" i="10"/>
  <c r="BP8" i="10"/>
  <c r="BQ8" i="10" s="1"/>
  <c r="BR8" i="10"/>
  <c r="BS8" i="10"/>
  <c r="BT8" i="10"/>
  <c r="BU8" i="10"/>
  <c r="BV8" i="10"/>
  <c r="BY8" i="10"/>
  <c r="CB8" i="10"/>
  <c r="CC8" i="10"/>
  <c r="CF8" i="10"/>
  <c r="CH8" i="10"/>
  <c r="CL8" i="10"/>
  <c r="CM8" i="10" s="1"/>
  <c r="CQ8" i="10"/>
  <c r="CR8" i="10" s="1"/>
  <c r="CS8" i="10"/>
  <c r="CU8" i="10"/>
  <c r="CV8" i="10"/>
  <c r="CW8" i="10"/>
  <c r="CX8" i="10" s="1"/>
  <c r="CZ8" i="10"/>
  <c r="DC8" i="10"/>
  <c r="EE8" i="10" s="1"/>
  <c r="DD8" i="10"/>
  <c r="DE8" i="10"/>
  <c r="DF8" i="10" s="1"/>
  <c r="DH8" i="10"/>
  <c r="DI8" i="10" s="1"/>
  <c r="DJ8" i="10"/>
  <c r="DL8" i="10"/>
  <c r="DN8" i="10"/>
  <c r="DO8" i="10"/>
  <c r="DR8" i="10"/>
  <c r="DS8" i="10" s="1"/>
  <c r="DU8" i="10"/>
  <c r="DT8" i="10" s="1"/>
  <c r="DY8" i="10"/>
  <c r="DZ8" i="10"/>
  <c r="EB8" i="10"/>
  <c r="EG8" i="10"/>
  <c r="EH8" i="10" s="1"/>
  <c r="EI8" i="10"/>
  <c r="EJ8" i="10" s="1"/>
  <c r="EK8" i="10"/>
  <c r="EL8" i="10"/>
  <c r="A10" i="10"/>
  <c r="B5" i="10"/>
  <c r="C5" i="10"/>
  <c r="D5" i="10"/>
  <c r="E5" i="10"/>
  <c r="F5" i="10"/>
  <c r="G5" i="10"/>
  <c r="H5" i="10"/>
  <c r="I5" i="10"/>
  <c r="J5" i="10"/>
  <c r="L5" i="10"/>
  <c r="DA5" i="10" s="1"/>
  <c r="M5" i="10"/>
  <c r="N5" i="10" s="1"/>
  <c r="O5" i="10"/>
  <c r="P5" i="10"/>
  <c r="Q5" i="10"/>
  <c r="U5" i="10"/>
  <c r="V5" i="10"/>
  <c r="X5" i="10"/>
  <c r="Y5" i="10"/>
  <c r="AI5" i="10" s="1"/>
  <c r="AA5" i="10"/>
  <c r="AL5" i="10" s="1"/>
  <c r="AB5" i="10"/>
  <c r="AM5" i="10" s="1"/>
  <c r="AO5" i="10" s="1"/>
  <c r="AD5" i="10"/>
  <c r="AK5" i="10" s="1"/>
  <c r="AN5" i="10"/>
  <c r="AP5" i="10"/>
  <c r="AQ5" i="10" s="1"/>
  <c r="AR5" i="10"/>
  <c r="AS5" i="10" s="1"/>
  <c r="AU5" i="10"/>
  <c r="AV5" i="10"/>
  <c r="AW5" i="10"/>
  <c r="AC5" i="10" s="1"/>
  <c r="AE5" i="10" s="1"/>
  <c r="AX5" i="10"/>
  <c r="AY5" i="10"/>
  <c r="BA5" i="10"/>
  <c r="BC5" i="10" s="1"/>
  <c r="BB5" i="10"/>
  <c r="BD5" i="10" s="1"/>
  <c r="BE5" i="10"/>
  <c r="BH5" i="10"/>
  <c r="BJ5" i="10"/>
  <c r="BK5" i="10"/>
  <c r="BL5" i="10"/>
  <c r="BM5" i="10"/>
  <c r="BN5" i="10"/>
  <c r="BP5" i="10"/>
  <c r="BR5" i="10"/>
  <c r="BS5" i="10"/>
  <c r="BT5" i="10"/>
  <c r="BU5" i="10"/>
  <c r="BV5" i="10"/>
  <c r="BY5" i="10"/>
  <c r="CB5" i="10"/>
  <c r="CC5" i="10"/>
  <c r="CH5" i="10"/>
  <c r="CL5" i="10"/>
  <c r="CM5" i="10" s="1"/>
  <c r="CQ5" i="10"/>
  <c r="CR5" i="10" s="1"/>
  <c r="CS5" i="10"/>
  <c r="CU5" i="10"/>
  <c r="CW5" i="10"/>
  <c r="CY5" i="10" s="1"/>
  <c r="CZ5" i="10"/>
  <c r="DC5" i="10"/>
  <c r="EE5" i="10" s="1"/>
  <c r="EF5" i="10" s="1"/>
  <c r="DD5" i="10"/>
  <c r="DE5" i="10"/>
  <c r="DF5" i="10" s="1"/>
  <c r="DH5" i="10"/>
  <c r="DI5" i="10"/>
  <c r="DJ5" i="10"/>
  <c r="DL5" i="10"/>
  <c r="DB5" i="10" s="1"/>
  <c r="DM5" i="10"/>
  <c r="DN5" i="10"/>
  <c r="DO5" i="10"/>
  <c r="DR5" i="10"/>
  <c r="DU5" i="10"/>
  <c r="DZ5" i="10"/>
  <c r="EA5" i="10" s="1"/>
  <c r="EB5" i="10"/>
  <c r="EC5" i="10" s="1"/>
  <c r="EG5" i="10"/>
  <c r="EI5" i="10"/>
  <c r="EK5" i="10"/>
  <c r="EL5" i="10"/>
  <c r="A11" i="10"/>
  <c r="B6" i="10"/>
  <c r="C6" i="10"/>
  <c r="D6" i="10"/>
  <c r="E6" i="10"/>
  <c r="F6" i="10"/>
  <c r="G6" i="10"/>
  <c r="H6" i="10"/>
  <c r="I6" i="10"/>
  <c r="J6" i="10"/>
  <c r="L6" i="10"/>
  <c r="DA6" i="10" s="1"/>
  <c r="M6" i="10"/>
  <c r="N6" i="10" s="1"/>
  <c r="O6" i="10"/>
  <c r="P6" i="10"/>
  <c r="Q6" i="10"/>
  <c r="U6" i="10"/>
  <c r="V6" i="10" s="1"/>
  <c r="X6" i="10"/>
  <c r="Y6" i="10"/>
  <c r="AA6" i="10"/>
  <c r="AB6" i="10"/>
  <c r="AD6" i="10"/>
  <c r="AK6" i="10" s="1"/>
  <c r="AI6" i="10"/>
  <c r="AL6" i="10"/>
  <c r="AM6" i="10"/>
  <c r="AO6" i="10" s="1"/>
  <c r="AN6" i="10"/>
  <c r="AP6" i="10"/>
  <c r="AR6" i="10"/>
  <c r="AU6" i="10"/>
  <c r="AV6" i="10"/>
  <c r="AW6" i="10"/>
  <c r="AC6" i="10" s="1"/>
  <c r="AX6" i="10"/>
  <c r="BA6" i="10"/>
  <c r="BB6" i="10"/>
  <c r="BF6" i="10" s="1"/>
  <c r="BG6" i="10" s="1"/>
  <c r="BD6" i="10"/>
  <c r="BE6" i="10"/>
  <c r="BH6" i="10"/>
  <c r="BJ6" i="10"/>
  <c r="BK6" i="10"/>
  <c r="BL6" i="10"/>
  <c r="BM6" i="10" s="1"/>
  <c r="BN6" i="10"/>
  <c r="BP6" i="10"/>
  <c r="BQ6" i="10" s="1"/>
  <c r="BR6" i="10"/>
  <c r="BS6" i="10"/>
  <c r="BT6" i="10"/>
  <c r="BU6" i="10"/>
  <c r="BV6" i="10"/>
  <c r="CB6" i="10"/>
  <c r="CC6" i="10"/>
  <c r="CD6" i="10"/>
  <c r="CH6" i="10"/>
  <c r="BX6" i="10" s="1"/>
  <c r="CJ6" i="10"/>
  <c r="CK6" i="10" s="1"/>
  <c r="CL6" i="10"/>
  <c r="CQ6" i="10"/>
  <c r="CS6" i="10"/>
  <c r="CT6" i="10"/>
  <c r="CU6" i="10"/>
  <c r="CV6" i="10" s="1"/>
  <c r="CW6" i="10"/>
  <c r="CZ6" i="10"/>
  <c r="DC6" i="10"/>
  <c r="EE6" i="10" s="1"/>
  <c r="EF6" i="10" s="1"/>
  <c r="DE6" i="10"/>
  <c r="DF6" i="10" s="1"/>
  <c r="DH6" i="10"/>
  <c r="DI6" i="10" s="1"/>
  <c r="DJ6" i="10"/>
  <c r="DL6" i="10"/>
  <c r="DM6" i="10" s="1"/>
  <c r="DN6" i="10"/>
  <c r="DO6" i="10"/>
  <c r="DR6" i="10"/>
  <c r="DU6" i="10"/>
  <c r="DT6" i="10" s="1"/>
  <c r="DW6" i="10"/>
  <c r="DX6" i="10" s="1"/>
  <c r="DY6" i="10"/>
  <c r="DZ6" i="10"/>
  <c r="EA6" i="10" s="1"/>
  <c r="EB6" i="10"/>
  <c r="EC6" i="10" s="1"/>
  <c r="EG6" i="10"/>
  <c r="EH6" i="10" s="1"/>
  <c r="EI6" i="10"/>
  <c r="EJ6" i="10" s="1"/>
  <c r="EK6" i="10"/>
  <c r="EL6" i="10"/>
  <c r="B7" i="11"/>
  <c r="C7" i="11"/>
  <c r="D7" i="11"/>
  <c r="E7" i="11"/>
  <c r="F7" i="11"/>
  <c r="G7" i="11"/>
  <c r="H7" i="11"/>
  <c r="I7" i="11"/>
  <c r="J7" i="11"/>
  <c r="L7" i="11"/>
  <c r="M7" i="11"/>
  <c r="N7" i="11" s="1"/>
  <c r="O7" i="11"/>
  <c r="P7" i="11"/>
  <c r="Q7" i="11"/>
  <c r="S7" i="11"/>
  <c r="U7" i="11"/>
  <c r="V7" i="11"/>
  <c r="AA7" i="11"/>
  <c r="AB7" i="11"/>
  <c r="AC7" i="11"/>
  <c r="Y7" i="11"/>
  <c r="AI7" i="11"/>
  <c r="AK7" i="11"/>
  <c r="AN7" i="11"/>
  <c r="AP7" i="11"/>
  <c r="AS7" i="11"/>
  <c r="AT7" i="11" s="1"/>
  <c r="AU7" i="11"/>
  <c r="AV7" i="11"/>
  <c r="AW7" i="11" s="1"/>
  <c r="BA7" i="11"/>
  <c r="BB7" i="11"/>
  <c r="BD7" i="11"/>
  <c r="BQ7" i="11"/>
  <c r="BS7" i="11"/>
  <c r="BU7" i="11"/>
  <c r="BX7" i="11"/>
  <c r="BG7" i="11"/>
  <c r="BI7" i="11"/>
  <c r="BK7" i="11"/>
  <c r="BL7" i="11"/>
  <c r="BO7" i="11"/>
  <c r="BZ7" i="11"/>
  <c r="CE7" i="11"/>
  <c r="CF7" i="11" s="1"/>
  <c r="CG7" i="11"/>
  <c r="CI7" i="11"/>
  <c r="CK7" i="11"/>
  <c r="CS7" i="11"/>
  <c r="CT7" i="11" s="1"/>
  <c r="CU7" i="11"/>
  <c r="CW7" i="11"/>
  <c r="CZ7" i="11" s="1"/>
  <c r="DB7" i="11"/>
  <c r="DD7" i="11"/>
  <c r="DE7" i="11"/>
  <c r="A4" i="11"/>
  <c r="B2" i="11"/>
  <c r="C2" i="11"/>
  <c r="D2" i="11"/>
  <c r="E2" i="11"/>
  <c r="F2" i="11"/>
  <c r="G2" i="11"/>
  <c r="H2" i="11"/>
  <c r="I2" i="11"/>
  <c r="J2" i="11"/>
  <c r="L2" i="11"/>
  <c r="M2" i="11"/>
  <c r="N2" i="11" s="1"/>
  <c r="O2" i="11"/>
  <c r="P2" i="11"/>
  <c r="Q2" i="11"/>
  <c r="S2" i="11"/>
  <c r="U2" i="11"/>
  <c r="V2" i="11"/>
  <c r="AA2" i="11"/>
  <c r="AB2" i="11"/>
  <c r="AC2" i="11"/>
  <c r="Y2" i="11"/>
  <c r="AI2" i="11"/>
  <c r="AK2" i="11"/>
  <c r="AN2" i="11"/>
  <c r="AP2" i="11"/>
  <c r="AS2" i="11"/>
  <c r="AT2" i="11" s="1"/>
  <c r="AU2" i="11"/>
  <c r="AV2" i="11"/>
  <c r="BA2" i="11"/>
  <c r="BB2" i="11"/>
  <c r="BD2" i="11"/>
  <c r="BQ2" i="11"/>
  <c r="BS2" i="11"/>
  <c r="BU2" i="11"/>
  <c r="BX2" i="11"/>
  <c r="BG2" i="11"/>
  <c r="BI2" i="11"/>
  <c r="BK2" i="11"/>
  <c r="BL2" i="11"/>
  <c r="BO2" i="11"/>
  <c r="BZ2" i="11"/>
  <c r="CE2" i="11"/>
  <c r="CF2" i="11" s="1"/>
  <c r="CG2" i="11"/>
  <c r="CI2" i="11"/>
  <c r="CK2" i="11"/>
  <c r="CS2" i="11"/>
  <c r="CT2" i="11" s="1"/>
  <c r="CU2" i="11"/>
  <c r="CW2" i="11"/>
  <c r="CZ2" i="11" s="1"/>
  <c r="DB2" i="11"/>
  <c r="DD2" i="11"/>
  <c r="DE2" i="11"/>
  <c r="A5" i="11"/>
  <c r="A6" i="11"/>
  <c r="A7" i="11"/>
  <c r="A8" i="11"/>
  <c r="A9" i="11"/>
  <c r="A10" i="11"/>
  <c r="A11" i="11"/>
  <c r="B4" i="11"/>
  <c r="C4" i="11"/>
  <c r="D4" i="11"/>
  <c r="E4" i="11"/>
  <c r="F4" i="11"/>
  <c r="G4" i="11"/>
  <c r="H4" i="11"/>
  <c r="I4" i="11"/>
  <c r="J4" i="11"/>
  <c r="L4" i="11"/>
  <c r="CB4" i="11" s="1"/>
  <c r="CC4" i="11" s="1"/>
  <c r="M4" i="11"/>
  <c r="N4" i="11" s="1"/>
  <c r="O4" i="11"/>
  <c r="P4" i="11"/>
  <c r="Q4" i="11"/>
  <c r="S4" i="11"/>
  <c r="U4" i="11"/>
  <c r="V4" i="11"/>
  <c r="AA4" i="11"/>
  <c r="AB4" i="11"/>
  <c r="AC4" i="11"/>
  <c r="Y4" i="11"/>
  <c r="AI4" i="11"/>
  <c r="AK4" i="11"/>
  <c r="AN4" i="11"/>
  <c r="AP4" i="11"/>
  <c r="AS4" i="11"/>
  <c r="AT4" i="11" s="1"/>
  <c r="AU4" i="11"/>
  <c r="AV4" i="11"/>
  <c r="BA4" i="11"/>
  <c r="BB4" i="11"/>
  <c r="BD4" i="11"/>
  <c r="BQ4" i="11"/>
  <c r="BS4" i="11"/>
  <c r="BU4" i="11"/>
  <c r="BX4" i="11"/>
  <c r="BG4" i="11"/>
  <c r="BI4" i="11"/>
  <c r="BK4" i="11"/>
  <c r="BL4" i="11"/>
  <c r="BO4" i="11"/>
  <c r="BZ4" i="11"/>
  <c r="CE4" i="11"/>
  <c r="CF4" i="11" s="1"/>
  <c r="CG4" i="11"/>
  <c r="CI4" i="11"/>
  <c r="CK4" i="11"/>
  <c r="CS4" i="11"/>
  <c r="CT4" i="11" s="1"/>
  <c r="CU4" i="11"/>
  <c r="CW4" i="11"/>
  <c r="CY4" i="11" s="1"/>
  <c r="DB4" i="11"/>
  <c r="DD4" i="11"/>
  <c r="DE4" i="11"/>
  <c r="B5" i="11"/>
  <c r="C5" i="11"/>
  <c r="D5" i="11"/>
  <c r="E5" i="11"/>
  <c r="F5" i="11"/>
  <c r="G5" i="11"/>
  <c r="H5" i="11"/>
  <c r="I5" i="11"/>
  <c r="J5" i="11"/>
  <c r="L5" i="11"/>
  <c r="M5" i="11"/>
  <c r="N5" i="11" s="1"/>
  <c r="O5" i="11"/>
  <c r="P5" i="11"/>
  <c r="Q5" i="11"/>
  <c r="S5" i="11"/>
  <c r="U5" i="11"/>
  <c r="V5" i="11"/>
  <c r="AA5" i="11"/>
  <c r="AB5" i="11"/>
  <c r="AC5" i="11"/>
  <c r="Y5" i="11"/>
  <c r="AI5" i="11"/>
  <c r="AK5" i="11"/>
  <c r="AN5" i="11"/>
  <c r="AP5" i="11"/>
  <c r="AS5" i="11"/>
  <c r="AT5" i="11" s="1"/>
  <c r="AU5" i="11"/>
  <c r="AV5" i="11"/>
  <c r="BA5" i="11"/>
  <c r="BB5" i="11"/>
  <c r="BD5" i="11"/>
  <c r="BQ5" i="11"/>
  <c r="BS5" i="11"/>
  <c r="BU5" i="11"/>
  <c r="BX5" i="11"/>
  <c r="BG5" i="11"/>
  <c r="BI5" i="11"/>
  <c r="BK5" i="11"/>
  <c r="BL5" i="11"/>
  <c r="BO5" i="11"/>
  <c r="BZ5" i="11"/>
  <c r="CE5" i="11"/>
  <c r="CF5" i="11" s="1"/>
  <c r="CG5" i="11"/>
  <c r="CI5" i="11"/>
  <c r="CK5" i="11"/>
  <c r="CS5" i="11"/>
  <c r="CT5" i="11" s="1"/>
  <c r="CU5" i="11"/>
  <c r="CW5" i="11"/>
  <c r="CY5" i="11" s="1"/>
  <c r="DB5" i="11"/>
  <c r="DD5" i="11"/>
  <c r="DE5" i="11"/>
  <c r="B6" i="11"/>
  <c r="C6" i="11"/>
  <c r="D6" i="11"/>
  <c r="E6" i="11"/>
  <c r="F6" i="11"/>
  <c r="G6" i="11"/>
  <c r="H6" i="11"/>
  <c r="I6" i="11"/>
  <c r="J6" i="11"/>
  <c r="L6" i="11"/>
  <c r="M6" i="11"/>
  <c r="N6" i="11" s="1"/>
  <c r="O6" i="11"/>
  <c r="P6" i="11"/>
  <c r="Q6" i="11"/>
  <c r="S6" i="11"/>
  <c r="U6" i="11"/>
  <c r="V6" i="11"/>
  <c r="AA6" i="11"/>
  <c r="AB6" i="11"/>
  <c r="AC6" i="11"/>
  <c r="Y6" i="11"/>
  <c r="AI6" i="11"/>
  <c r="AK6" i="11"/>
  <c r="AN6" i="11"/>
  <c r="AP6" i="11"/>
  <c r="AS6" i="11"/>
  <c r="AT6" i="11" s="1"/>
  <c r="AU6" i="11"/>
  <c r="AV6" i="11"/>
  <c r="BA6" i="11"/>
  <c r="BB6" i="11"/>
  <c r="BD6" i="11"/>
  <c r="BQ6" i="11"/>
  <c r="BS6" i="11"/>
  <c r="BU6" i="11"/>
  <c r="BX6" i="11"/>
  <c r="BG6" i="11"/>
  <c r="BI6" i="11"/>
  <c r="BK6" i="11"/>
  <c r="BL6" i="11"/>
  <c r="BO6" i="11"/>
  <c r="BZ6" i="11"/>
  <c r="CE6" i="11"/>
  <c r="CF6" i="11" s="1"/>
  <c r="CG6" i="11"/>
  <c r="CI6" i="11"/>
  <c r="CK6" i="11"/>
  <c r="CS6" i="11"/>
  <c r="CT6" i="11" s="1"/>
  <c r="CU6" i="11"/>
  <c r="CW6" i="11"/>
  <c r="CY6" i="11" s="1"/>
  <c r="DB6" i="11"/>
  <c r="DD6" i="11"/>
  <c r="DE6" i="11"/>
  <c r="B3" i="11"/>
  <c r="C3" i="11"/>
  <c r="D3" i="11"/>
  <c r="E3" i="11"/>
  <c r="F3" i="11"/>
  <c r="G3" i="11"/>
  <c r="H3" i="11"/>
  <c r="I3" i="11"/>
  <c r="J3" i="11"/>
  <c r="L3" i="11"/>
  <c r="M3" i="11"/>
  <c r="N3" i="11" s="1"/>
  <c r="O3" i="11"/>
  <c r="P3" i="11"/>
  <c r="Q3" i="11"/>
  <c r="S3" i="11"/>
  <c r="U3" i="11"/>
  <c r="V3" i="11"/>
  <c r="AA3" i="11"/>
  <c r="AB3" i="11"/>
  <c r="AC3" i="11"/>
  <c r="Y3" i="11"/>
  <c r="AI3" i="11"/>
  <c r="AK3" i="11"/>
  <c r="AN3" i="11"/>
  <c r="AP3" i="11"/>
  <c r="AS3" i="11"/>
  <c r="AT3" i="11" s="1"/>
  <c r="AU3" i="11"/>
  <c r="AV3" i="11"/>
  <c r="BA3" i="11"/>
  <c r="BB3" i="11"/>
  <c r="BD3" i="11"/>
  <c r="BQ3" i="11"/>
  <c r="BS3" i="11"/>
  <c r="BU3" i="11"/>
  <c r="BX3" i="11"/>
  <c r="BG3" i="11"/>
  <c r="BI3" i="11"/>
  <c r="BK3" i="11"/>
  <c r="BL3" i="11"/>
  <c r="BO3" i="11"/>
  <c r="BZ3" i="11"/>
  <c r="CE3" i="11"/>
  <c r="CF3" i="11" s="1"/>
  <c r="CG3" i="11"/>
  <c r="CI3" i="11"/>
  <c r="CK3" i="11"/>
  <c r="CS3" i="11"/>
  <c r="CT3" i="11" s="1"/>
  <c r="CU3" i="11"/>
  <c r="CW3" i="11"/>
  <c r="CZ3" i="11" s="1"/>
  <c r="DB3" i="11"/>
  <c r="DD3" i="11"/>
  <c r="DE3" i="11"/>
  <c r="B11" i="11"/>
  <c r="C11" i="11"/>
  <c r="D11" i="11"/>
  <c r="E11" i="11"/>
  <c r="F11" i="11"/>
  <c r="G11" i="11"/>
  <c r="H11" i="11"/>
  <c r="I11" i="11"/>
  <c r="J11" i="11"/>
  <c r="L11" i="11"/>
  <c r="CB11" i="11" s="1"/>
  <c r="CC11" i="11" s="1"/>
  <c r="M11" i="11"/>
  <c r="N11" i="11" s="1"/>
  <c r="O11" i="11"/>
  <c r="P11" i="11"/>
  <c r="Q11" i="11"/>
  <c r="S11" i="11"/>
  <c r="U11" i="11"/>
  <c r="V11" i="11"/>
  <c r="AA11" i="11"/>
  <c r="AB11" i="11"/>
  <c r="AC11" i="11"/>
  <c r="Y11" i="11"/>
  <c r="AI11" i="11"/>
  <c r="AK11" i="11"/>
  <c r="AN11" i="11"/>
  <c r="AP11" i="11"/>
  <c r="AS11" i="11"/>
  <c r="AT11" i="11" s="1"/>
  <c r="AU11" i="11"/>
  <c r="AV11" i="11"/>
  <c r="BA11" i="11"/>
  <c r="BB11" i="11"/>
  <c r="BD11" i="11"/>
  <c r="BQ11" i="11"/>
  <c r="BS11" i="11"/>
  <c r="BU11" i="11"/>
  <c r="BX11" i="11"/>
  <c r="BG11" i="11"/>
  <c r="BI11" i="11"/>
  <c r="BK11" i="11"/>
  <c r="BL11" i="11"/>
  <c r="BO11" i="11"/>
  <c r="BZ11" i="11"/>
  <c r="CE11" i="11"/>
  <c r="CF11" i="11" s="1"/>
  <c r="CG11" i="11"/>
  <c r="CI11" i="11"/>
  <c r="CK11" i="11"/>
  <c r="CS11" i="11"/>
  <c r="CT11" i="11" s="1"/>
  <c r="CU11" i="11"/>
  <c r="CW11" i="11"/>
  <c r="CZ11" i="11" s="1"/>
  <c r="DB11" i="11"/>
  <c r="DD11" i="11"/>
  <c r="DE11" i="11"/>
  <c r="B9" i="11"/>
  <c r="C9" i="11"/>
  <c r="D9" i="11"/>
  <c r="E9" i="11"/>
  <c r="F9" i="11"/>
  <c r="G9" i="11"/>
  <c r="H9" i="11"/>
  <c r="I9" i="11"/>
  <c r="J9" i="11"/>
  <c r="L9" i="11"/>
  <c r="CD9" i="11" s="1"/>
  <c r="M9" i="11"/>
  <c r="N9" i="11" s="1"/>
  <c r="O9" i="11"/>
  <c r="P9" i="11"/>
  <c r="Q9" i="11"/>
  <c r="S9" i="11"/>
  <c r="U9" i="11"/>
  <c r="V9" i="11"/>
  <c r="AA9" i="11"/>
  <c r="AB9" i="11"/>
  <c r="AC9" i="11"/>
  <c r="Y9" i="11"/>
  <c r="AI9" i="11"/>
  <c r="AK9" i="11"/>
  <c r="AN9" i="11"/>
  <c r="AP9" i="11"/>
  <c r="AS9" i="11"/>
  <c r="AT9" i="11" s="1"/>
  <c r="AU9" i="11"/>
  <c r="AV9" i="11"/>
  <c r="BA9" i="11"/>
  <c r="BB9" i="11"/>
  <c r="BD9" i="11"/>
  <c r="BQ9" i="11"/>
  <c r="BS9" i="11"/>
  <c r="BU9" i="11"/>
  <c r="BX9" i="11"/>
  <c r="BG9" i="11"/>
  <c r="BI9" i="11"/>
  <c r="BK9" i="11"/>
  <c r="BL9" i="11"/>
  <c r="BO9" i="11"/>
  <c r="BZ9" i="11"/>
  <c r="CE9" i="11"/>
  <c r="CF9" i="11" s="1"/>
  <c r="CG9" i="11"/>
  <c r="CI9" i="11"/>
  <c r="CK9" i="11"/>
  <c r="CS9" i="11"/>
  <c r="CT9" i="11" s="1"/>
  <c r="CU9" i="11"/>
  <c r="CW9" i="11"/>
  <c r="CY9" i="11" s="1"/>
  <c r="DB9" i="11"/>
  <c r="DD9" i="11"/>
  <c r="DE9" i="11"/>
  <c r="B10" i="11"/>
  <c r="C10" i="11"/>
  <c r="D10" i="11"/>
  <c r="E10" i="11"/>
  <c r="F10" i="11"/>
  <c r="G10" i="11"/>
  <c r="H10" i="11"/>
  <c r="I10" i="11"/>
  <c r="J10" i="11"/>
  <c r="L10" i="11"/>
  <c r="CB10" i="11" s="1"/>
  <c r="CC10" i="11" s="1"/>
  <c r="M10" i="11"/>
  <c r="N10" i="11" s="1"/>
  <c r="O10" i="11"/>
  <c r="P10" i="11"/>
  <c r="Q10" i="11"/>
  <c r="S10" i="11"/>
  <c r="U10" i="11"/>
  <c r="V10" i="11"/>
  <c r="AA10" i="11"/>
  <c r="AB10" i="11"/>
  <c r="AC10" i="11"/>
  <c r="Y10" i="11"/>
  <c r="AI10" i="11"/>
  <c r="AK10" i="11"/>
  <c r="AN10" i="11"/>
  <c r="AP10" i="11"/>
  <c r="AS10" i="11"/>
  <c r="AT10" i="11" s="1"/>
  <c r="AU10" i="11"/>
  <c r="AV10" i="11"/>
  <c r="BA10" i="11"/>
  <c r="BB10" i="11"/>
  <c r="BD10" i="11"/>
  <c r="BQ10" i="11"/>
  <c r="BS10" i="11"/>
  <c r="BU10" i="11"/>
  <c r="BX10" i="11"/>
  <c r="BG10" i="11"/>
  <c r="BI10" i="11"/>
  <c r="BK10" i="11"/>
  <c r="BL10" i="11"/>
  <c r="BO10" i="11"/>
  <c r="BZ10" i="11"/>
  <c r="CE10" i="11"/>
  <c r="CF10" i="11" s="1"/>
  <c r="CG10" i="11"/>
  <c r="CI10" i="11"/>
  <c r="CK10" i="11"/>
  <c r="CS10" i="11"/>
  <c r="CT10" i="11" s="1"/>
  <c r="CU10" i="11"/>
  <c r="CW10" i="11"/>
  <c r="CZ10" i="11" s="1"/>
  <c r="DB10" i="11"/>
  <c r="DD10" i="11"/>
  <c r="DE10" i="11"/>
  <c r="B8" i="11"/>
  <c r="C8" i="11"/>
  <c r="D8" i="11"/>
  <c r="E8" i="11"/>
  <c r="F8" i="11"/>
  <c r="G8" i="11"/>
  <c r="H8" i="11"/>
  <c r="I8" i="11"/>
  <c r="J8" i="11"/>
  <c r="L8" i="11"/>
  <c r="CB8" i="11" s="1"/>
  <c r="CC8" i="11" s="1"/>
  <c r="M8" i="11"/>
  <c r="N8" i="11" s="1"/>
  <c r="O8" i="11"/>
  <c r="P8" i="11"/>
  <c r="Q8" i="11"/>
  <c r="S8" i="11"/>
  <c r="U8" i="11"/>
  <c r="V8" i="11"/>
  <c r="AA8" i="11"/>
  <c r="AB8" i="11"/>
  <c r="AC8" i="11"/>
  <c r="Y8" i="11"/>
  <c r="AI8" i="11"/>
  <c r="AK8" i="11"/>
  <c r="AN8" i="11"/>
  <c r="AP8" i="11"/>
  <c r="AS8" i="11"/>
  <c r="AT8" i="11" s="1"/>
  <c r="AU8" i="11"/>
  <c r="AV8" i="11"/>
  <c r="BA8" i="11"/>
  <c r="BB8" i="11"/>
  <c r="BD8" i="11"/>
  <c r="BQ8" i="11"/>
  <c r="BS8" i="11"/>
  <c r="BU8" i="11"/>
  <c r="BX8" i="11"/>
  <c r="BG8" i="11"/>
  <c r="BI8" i="11"/>
  <c r="BK8" i="11"/>
  <c r="BL8" i="11"/>
  <c r="BO8" i="11"/>
  <c r="BZ8" i="11"/>
  <c r="CE8" i="11"/>
  <c r="CF8" i="11" s="1"/>
  <c r="CG8" i="11"/>
  <c r="CI8" i="11"/>
  <c r="CK8" i="11"/>
  <c r="CS8" i="11"/>
  <c r="CT8" i="11" s="1"/>
  <c r="CU8" i="11"/>
  <c r="CW8" i="11"/>
  <c r="CY8" i="11" s="1"/>
  <c r="DB8" i="11"/>
  <c r="DD8" i="11"/>
  <c r="DE8" i="11"/>
  <c r="B3" i="10"/>
  <c r="C3" i="10"/>
  <c r="D3" i="10"/>
  <c r="E3" i="10"/>
  <c r="F3" i="10"/>
  <c r="G3" i="10"/>
  <c r="H3" i="10"/>
  <c r="I3" i="10"/>
  <c r="J3" i="10"/>
  <c r="L3" i="10"/>
  <c r="DN3" i="10" s="1"/>
  <c r="M3" i="10"/>
  <c r="N3" i="10" s="1"/>
  <c r="O3" i="10"/>
  <c r="P3" i="10"/>
  <c r="Q3" i="10"/>
  <c r="U3" i="10"/>
  <c r="V3" i="10" s="1"/>
  <c r="X3" i="10"/>
  <c r="Y3" i="10"/>
  <c r="AA3" i="10"/>
  <c r="AB3" i="10"/>
  <c r="AD3" i="10"/>
  <c r="AN3" i="10"/>
  <c r="AP3" i="10"/>
  <c r="AR3" i="10"/>
  <c r="AU3" i="10"/>
  <c r="AV3" i="10"/>
  <c r="AW3" i="10"/>
  <c r="AC3" i="10" s="1"/>
  <c r="AX3" i="10"/>
  <c r="BA3" i="10"/>
  <c r="BB3" i="10"/>
  <c r="BE3" i="10"/>
  <c r="BH3" i="10"/>
  <c r="BJ3" i="10"/>
  <c r="BL3" i="10"/>
  <c r="BN3" i="10"/>
  <c r="BP3" i="10"/>
  <c r="BR3" i="10"/>
  <c r="BS3" i="10"/>
  <c r="BT3" i="10"/>
  <c r="BU3" i="10"/>
  <c r="BV3" i="10"/>
  <c r="CB3" i="10"/>
  <c r="CC3" i="10"/>
  <c r="CH3" i="10"/>
  <c r="DP3" i="10" s="1"/>
  <c r="CL3" i="10"/>
  <c r="CS3" i="10" s="1"/>
  <c r="CQ3" i="10"/>
  <c r="CU3" i="10"/>
  <c r="CW3" i="10"/>
  <c r="CZ3" i="10"/>
  <c r="DC3" i="10"/>
  <c r="EE3" i="10" s="1"/>
  <c r="DE3" i="10"/>
  <c r="DH3" i="10"/>
  <c r="DJ3" i="10"/>
  <c r="DL3" i="10"/>
  <c r="DO3" i="10"/>
  <c r="DR3" i="10"/>
  <c r="DU3" i="10"/>
  <c r="DZ3" i="10"/>
  <c r="EB3" i="10"/>
  <c r="EG3" i="10"/>
  <c r="EI3" i="10"/>
  <c r="EK3" i="10"/>
  <c r="EL3" i="10"/>
  <c r="B7" i="10"/>
  <c r="C7" i="10"/>
  <c r="D7" i="10"/>
  <c r="E7" i="10"/>
  <c r="F7" i="10"/>
  <c r="G7" i="10"/>
  <c r="H7" i="10"/>
  <c r="I7" i="10"/>
  <c r="J7" i="10"/>
  <c r="L7" i="10"/>
  <c r="M7" i="10"/>
  <c r="N7" i="10" s="1"/>
  <c r="O7" i="10"/>
  <c r="P7" i="10"/>
  <c r="Q7" i="10"/>
  <c r="U7" i="10"/>
  <c r="V7" i="10" s="1"/>
  <c r="X7" i="10"/>
  <c r="Y7" i="10"/>
  <c r="AA7" i="10"/>
  <c r="AB7" i="10"/>
  <c r="AD7" i="10"/>
  <c r="AN7" i="10"/>
  <c r="AP7" i="10"/>
  <c r="AR7" i="10"/>
  <c r="AU7" i="10"/>
  <c r="AV7" i="10"/>
  <c r="AW7" i="10"/>
  <c r="AX7" i="10"/>
  <c r="BA7" i="10"/>
  <c r="BB7" i="10"/>
  <c r="BE7" i="10"/>
  <c r="BH7" i="10"/>
  <c r="BJ7" i="10"/>
  <c r="BL7" i="10"/>
  <c r="BN7" i="10"/>
  <c r="BP7" i="10"/>
  <c r="BR7" i="10"/>
  <c r="BS7" i="10"/>
  <c r="BT7" i="10"/>
  <c r="BU7" i="10"/>
  <c r="BV7" i="10"/>
  <c r="CB7" i="10"/>
  <c r="CC7" i="10"/>
  <c r="CD7" i="10"/>
  <c r="CH7" i="10"/>
  <c r="CL7" i="10"/>
  <c r="CQ7" i="10"/>
  <c r="CU7" i="10"/>
  <c r="CW7" i="10"/>
  <c r="CZ7" i="10"/>
  <c r="DC7" i="10"/>
  <c r="EE7" i="10" s="1"/>
  <c r="DE7" i="10"/>
  <c r="DH7" i="10"/>
  <c r="DJ7" i="10"/>
  <c r="DL7" i="10"/>
  <c r="DB7" i="10" s="1"/>
  <c r="DO7" i="10"/>
  <c r="DR7" i="10"/>
  <c r="DU7" i="10"/>
  <c r="DZ7" i="10"/>
  <c r="EB7" i="10"/>
  <c r="ED7" i="10" s="1"/>
  <c r="EG7" i="10"/>
  <c r="EI7" i="10"/>
  <c r="EK7" i="10"/>
  <c r="EL7" i="10"/>
  <c r="B9" i="10"/>
  <c r="C9" i="10"/>
  <c r="D9" i="10"/>
  <c r="E9" i="10"/>
  <c r="F9" i="10"/>
  <c r="G9" i="10"/>
  <c r="H9" i="10"/>
  <c r="I9" i="10"/>
  <c r="J9" i="10"/>
  <c r="L9" i="10"/>
  <c r="CD9" i="10" s="1"/>
  <c r="M9" i="10"/>
  <c r="N9" i="10" s="1"/>
  <c r="O9" i="10"/>
  <c r="P9" i="10"/>
  <c r="Q9" i="10"/>
  <c r="U9" i="10"/>
  <c r="V9" i="10" s="1"/>
  <c r="X9" i="10"/>
  <c r="Y9" i="10"/>
  <c r="AA9" i="10"/>
  <c r="AB9" i="10"/>
  <c r="AD9" i="10"/>
  <c r="AN9" i="10"/>
  <c r="AP9" i="10"/>
  <c r="AR9" i="10"/>
  <c r="AU9" i="10"/>
  <c r="AV9" i="10"/>
  <c r="AW9" i="10"/>
  <c r="AC9" i="10" s="1"/>
  <c r="AX9" i="10"/>
  <c r="BA9" i="10"/>
  <c r="BB9" i="10"/>
  <c r="BE9" i="10"/>
  <c r="BH9" i="10"/>
  <c r="BJ9" i="10"/>
  <c r="BL9" i="10"/>
  <c r="BN9" i="10"/>
  <c r="BP9" i="10"/>
  <c r="BR9" i="10"/>
  <c r="BS9" i="10"/>
  <c r="BT9" i="10"/>
  <c r="BU9" i="10"/>
  <c r="BV9" i="10"/>
  <c r="CB9" i="10"/>
  <c r="CC9" i="10"/>
  <c r="CH9" i="10"/>
  <c r="CF9" i="10" s="1"/>
  <c r="CL9" i="10"/>
  <c r="DW9" i="10" s="1"/>
  <c r="CQ9" i="10"/>
  <c r="CU9" i="10"/>
  <c r="CW9" i="10"/>
  <c r="CZ9" i="10"/>
  <c r="DC9" i="10"/>
  <c r="EE9" i="10" s="1"/>
  <c r="DE9" i="10"/>
  <c r="DH9" i="10"/>
  <c r="DJ9" i="10"/>
  <c r="DL9" i="10"/>
  <c r="DB9" i="10" s="1"/>
  <c r="DO9" i="10"/>
  <c r="DR9" i="10"/>
  <c r="DU9" i="10"/>
  <c r="DZ9" i="10"/>
  <c r="EB9" i="10"/>
  <c r="EG9" i="10"/>
  <c r="EI9" i="10"/>
  <c r="EK9" i="10"/>
  <c r="EL9" i="10"/>
  <c r="A6" i="10"/>
  <c r="B4" i="10"/>
  <c r="C4" i="10"/>
  <c r="D4" i="10"/>
  <c r="E4" i="10"/>
  <c r="F4" i="10"/>
  <c r="G4" i="10"/>
  <c r="H4" i="10"/>
  <c r="I4" i="10"/>
  <c r="J4" i="10"/>
  <c r="L4" i="10"/>
  <c r="DN4" i="10" s="1"/>
  <c r="M4" i="10"/>
  <c r="N4" i="10" s="1"/>
  <c r="O4" i="10"/>
  <c r="P4" i="10"/>
  <c r="Q4" i="10"/>
  <c r="U4" i="10"/>
  <c r="V4" i="10" s="1"/>
  <c r="X4" i="10"/>
  <c r="Y4" i="10"/>
  <c r="AA4" i="10"/>
  <c r="AB4" i="10"/>
  <c r="AD4" i="10"/>
  <c r="AN4" i="10"/>
  <c r="AP4" i="10"/>
  <c r="AR4" i="10"/>
  <c r="AU4" i="10"/>
  <c r="AV4" i="10"/>
  <c r="AW4" i="10"/>
  <c r="AC4" i="10" s="1"/>
  <c r="AX4" i="10"/>
  <c r="BA4" i="10"/>
  <c r="BB4" i="10"/>
  <c r="BE4" i="10"/>
  <c r="BH4" i="10"/>
  <c r="BJ4" i="10"/>
  <c r="BL4" i="10"/>
  <c r="BN4" i="10"/>
  <c r="BP4" i="10"/>
  <c r="BR4" i="10"/>
  <c r="BS4" i="10"/>
  <c r="BT4" i="10"/>
  <c r="BU4" i="10"/>
  <c r="BV4" i="10"/>
  <c r="CB4" i="10"/>
  <c r="CC4" i="10"/>
  <c r="CD4" i="10"/>
  <c r="CH4" i="10"/>
  <c r="CJ4" i="10" s="1"/>
  <c r="CL4" i="10"/>
  <c r="CQ4" i="10"/>
  <c r="CU4" i="10"/>
  <c r="CW4" i="10"/>
  <c r="CZ4" i="10"/>
  <c r="DC4" i="10"/>
  <c r="EE4" i="10" s="1"/>
  <c r="DE4" i="10"/>
  <c r="DH4" i="10"/>
  <c r="DJ4" i="10"/>
  <c r="DL4" i="10"/>
  <c r="DB4" i="10" s="1"/>
  <c r="DO4" i="10"/>
  <c r="DR4" i="10"/>
  <c r="DU4" i="10"/>
  <c r="DZ4" i="10"/>
  <c r="EB4" i="10"/>
  <c r="EG4" i="10"/>
  <c r="EI4" i="10"/>
  <c r="EK4" i="10"/>
  <c r="EL4" i="10"/>
  <c r="B3" i="2"/>
  <c r="C3" i="2"/>
  <c r="D3" i="2"/>
  <c r="E3" i="2"/>
  <c r="F3" i="2"/>
  <c r="G3" i="2"/>
  <c r="H3" i="2"/>
  <c r="I3" i="2"/>
  <c r="J3" i="2"/>
  <c r="L3" i="2"/>
  <c r="CT3" i="2" s="1"/>
  <c r="M3" i="2"/>
  <c r="N3" i="2" s="1"/>
  <c r="O3" i="2"/>
  <c r="P3" i="2"/>
  <c r="Q3" i="2"/>
  <c r="S3" i="2"/>
  <c r="T3" i="2" s="1"/>
  <c r="V3" i="2"/>
  <c r="X3" i="2"/>
  <c r="AA3" i="2"/>
  <c r="AB3" i="2"/>
  <c r="AC3" i="2"/>
  <c r="AD3" i="2"/>
  <c r="AE3" i="2"/>
  <c r="AF3" i="2"/>
  <c r="AG3" i="2"/>
  <c r="AJ3" i="2"/>
  <c r="AN3" i="2"/>
  <c r="AO3" i="2" s="1"/>
  <c r="AP3" i="2"/>
  <c r="AX3" i="2" s="1"/>
  <c r="AS3" i="2"/>
  <c r="AY3" i="2"/>
  <c r="AZ3" i="2"/>
  <c r="BB3" i="2"/>
  <c r="BC3" i="2"/>
  <c r="BG3" i="2"/>
  <c r="BI3" i="2" s="1"/>
  <c r="BH3" i="2"/>
  <c r="BJ3" i="2"/>
  <c r="BL3" i="2"/>
  <c r="BM3" i="2"/>
  <c r="BP3" i="2"/>
  <c r="BQ3" i="2"/>
  <c r="BT3" i="2"/>
  <c r="CB3" i="2" s="1"/>
  <c r="BV3" i="2"/>
  <c r="BX3" i="2"/>
  <c r="BY3" i="2" s="1"/>
  <c r="CA3" i="2"/>
  <c r="CC3" i="2"/>
  <c r="CE3" i="2"/>
  <c r="CF3" i="2"/>
  <c r="CG3" i="2"/>
  <c r="CI3" i="2"/>
  <c r="CK3" i="2"/>
  <c r="CM3" i="2"/>
  <c r="CV3" i="2"/>
  <c r="CX3" i="2"/>
  <c r="CZ3" i="2"/>
  <c r="DB3" i="2"/>
  <c r="DD3" i="2"/>
  <c r="DE3" i="2"/>
  <c r="DF3" i="2" s="1"/>
  <c r="DH3" i="2"/>
  <c r="DI3" i="2"/>
  <c r="B11" i="2"/>
  <c r="C11" i="2"/>
  <c r="D11" i="2"/>
  <c r="E11" i="2"/>
  <c r="F11" i="2"/>
  <c r="G11" i="2"/>
  <c r="H11" i="2"/>
  <c r="I11" i="2"/>
  <c r="J11" i="2"/>
  <c r="L11" i="2"/>
  <c r="M11" i="2"/>
  <c r="N11" i="2" s="1"/>
  <c r="O11" i="2"/>
  <c r="P11" i="2"/>
  <c r="Q11" i="2"/>
  <c r="S11" i="2"/>
  <c r="T11" i="2" s="1"/>
  <c r="V11" i="2"/>
  <c r="X11" i="2"/>
  <c r="AA11" i="2"/>
  <c r="AB11" i="2"/>
  <c r="AC11" i="2"/>
  <c r="AD11" i="2"/>
  <c r="AE11" i="2"/>
  <c r="AF11" i="2"/>
  <c r="AI11" i="2" s="1"/>
  <c r="AG11" i="2"/>
  <c r="AJ11" i="2"/>
  <c r="AN11" i="2"/>
  <c r="AP11" i="2"/>
  <c r="AS11" i="2"/>
  <c r="BN11" i="2" s="1"/>
  <c r="AY11" i="2"/>
  <c r="AZ11" i="2"/>
  <c r="BB11" i="2"/>
  <c r="BC11" i="2"/>
  <c r="BG11" i="2"/>
  <c r="BI11" i="2" s="1"/>
  <c r="BH11" i="2"/>
  <c r="BJ11" i="2"/>
  <c r="BL11" i="2"/>
  <c r="BM11" i="2"/>
  <c r="BP11" i="2"/>
  <c r="BQ11" i="2"/>
  <c r="BT11" i="2"/>
  <c r="CB11" i="2" s="1"/>
  <c r="BV11" i="2"/>
  <c r="BX11" i="2"/>
  <c r="CA11" i="2"/>
  <c r="CC11" i="2"/>
  <c r="CE11" i="2"/>
  <c r="CF11" i="2"/>
  <c r="CG11" i="2"/>
  <c r="CI11" i="2"/>
  <c r="CK11" i="2"/>
  <c r="CM11" i="2"/>
  <c r="CV11" i="2"/>
  <c r="CX11" i="2"/>
  <c r="CZ11" i="2"/>
  <c r="DB11" i="2"/>
  <c r="DD11" i="2"/>
  <c r="DE11" i="2"/>
  <c r="DH11" i="2"/>
  <c r="DI11" i="2"/>
  <c r="B2" i="2"/>
  <c r="C2" i="2"/>
  <c r="D2" i="2"/>
  <c r="E2" i="2"/>
  <c r="F2" i="2"/>
  <c r="G2" i="2"/>
  <c r="H2" i="2"/>
  <c r="I2" i="2"/>
  <c r="J2" i="2"/>
  <c r="L2" i="2"/>
  <c r="CT2" i="2" s="1"/>
  <c r="M2" i="2"/>
  <c r="N2" i="2" s="1"/>
  <c r="O2" i="2"/>
  <c r="P2" i="2"/>
  <c r="Q2" i="2"/>
  <c r="S2" i="2"/>
  <c r="T2" i="2" s="1"/>
  <c r="V2" i="2"/>
  <c r="X2" i="2"/>
  <c r="AA2" i="2"/>
  <c r="AB2" i="2"/>
  <c r="AC2" i="2"/>
  <c r="AD2" i="2"/>
  <c r="AE2" i="2"/>
  <c r="AF2" i="2"/>
  <c r="AG2" i="2"/>
  <c r="AJ2" i="2"/>
  <c r="AN2" i="2"/>
  <c r="AO2" i="2" s="1"/>
  <c r="AP2" i="2"/>
  <c r="AX2" i="2" s="1"/>
  <c r="AS2" i="2"/>
  <c r="AY2" i="2"/>
  <c r="AZ2" i="2"/>
  <c r="BB2" i="2"/>
  <c r="BC2" i="2"/>
  <c r="BG2" i="2"/>
  <c r="BI2" i="2" s="1"/>
  <c r="BH2" i="2"/>
  <c r="BJ2" i="2"/>
  <c r="BL2" i="2"/>
  <c r="BM2" i="2"/>
  <c r="BP2" i="2"/>
  <c r="BQ2" i="2"/>
  <c r="BT2" i="2"/>
  <c r="BV2" i="2"/>
  <c r="BX2" i="2"/>
  <c r="BY2" i="2" s="1"/>
  <c r="CA2" i="2"/>
  <c r="CC2" i="2"/>
  <c r="CE2" i="2"/>
  <c r="CF2" i="2"/>
  <c r="CG2" i="2"/>
  <c r="CI2" i="2"/>
  <c r="CK2" i="2"/>
  <c r="CM2" i="2"/>
  <c r="CV2" i="2"/>
  <c r="CX2" i="2"/>
  <c r="CZ2" i="2"/>
  <c r="DB2" i="2"/>
  <c r="DD2" i="2"/>
  <c r="DE2" i="2"/>
  <c r="DH2" i="2"/>
  <c r="DI2" i="2"/>
  <c r="B8" i="2"/>
  <c r="C8" i="2"/>
  <c r="D8" i="2"/>
  <c r="E8" i="2"/>
  <c r="F8" i="2"/>
  <c r="G8" i="2"/>
  <c r="H8" i="2"/>
  <c r="I8" i="2"/>
  <c r="J8" i="2"/>
  <c r="L8" i="2"/>
  <c r="BZ8" i="2" s="1"/>
  <c r="M8" i="2"/>
  <c r="N8" i="2" s="1"/>
  <c r="O8" i="2"/>
  <c r="P8" i="2"/>
  <c r="Q8" i="2"/>
  <c r="S8" i="2"/>
  <c r="T8" i="2" s="1"/>
  <c r="V8" i="2"/>
  <c r="X8" i="2"/>
  <c r="AA8" i="2"/>
  <c r="AB8" i="2"/>
  <c r="AC8" i="2"/>
  <c r="AD8" i="2"/>
  <c r="AE8" i="2"/>
  <c r="AF8" i="2"/>
  <c r="AI8" i="2" s="1"/>
  <c r="AG8" i="2"/>
  <c r="AJ8" i="2"/>
  <c r="AN8" i="2"/>
  <c r="AP8" i="2"/>
  <c r="AX8" i="2" s="1"/>
  <c r="AS8" i="2"/>
  <c r="CP8" i="2" s="1"/>
  <c r="AY8" i="2"/>
  <c r="AZ8" i="2"/>
  <c r="BB8" i="2"/>
  <c r="BC8" i="2"/>
  <c r="BG8" i="2"/>
  <c r="BI8" i="2" s="1"/>
  <c r="BH8" i="2"/>
  <c r="BJ8" i="2"/>
  <c r="BL8" i="2"/>
  <c r="BM8" i="2"/>
  <c r="BP8" i="2"/>
  <c r="BQ8" i="2"/>
  <c r="BT8" i="2"/>
  <c r="BV8" i="2"/>
  <c r="BX8" i="2"/>
  <c r="CA8" i="2"/>
  <c r="CC8" i="2"/>
  <c r="CE8" i="2"/>
  <c r="CF8" i="2"/>
  <c r="CG8" i="2"/>
  <c r="CI8" i="2"/>
  <c r="CK8" i="2"/>
  <c r="CM8" i="2"/>
  <c r="CV8" i="2"/>
  <c r="CX8" i="2"/>
  <c r="CZ8" i="2"/>
  <c r="DB8" i="2"/>
  <c r="DD8" i="2"/>
  <c r="DE8" i="2"/>
  <c r="DH8" i="2"/>
  <c r="DI8" i="2"/>
  <c r="B9" i="2"/>
  <c r="C9" i="2"/>
  <c r="D9" i="2"/>
  <c r="E9" i="2"/>
  <c r="F9" i="2"/>
  <c r="G9" i="2"/>
  <c r="H9" i="2"/>
  <c r="I9" i="2"/>
  <c r="J9" i="2"/>
  <c r="L9" i="2"/>
  <c r="CU9" i="2" s="1"/>
  <c r="M9" i="2"/>
  <c r="N9" i="2" s="1"/>
  <c r="O9" i="2"/>
  <c r="P9" i="2"/>
  <c r="Q9" i="2"/>
  <c r="S9" i="2"/>
  <c r="T9" i="2" s="1"/>
  <c r="V9" i="2"/>
  <c r="X9" i="2"/>
  <c r="AA9" i="2"/>
  <c r="AB9" i="2"/>
  <c r="AC9" i="2"/>
  <c r="AD9" i="2"/>
  <c r="AE9" i="2"/>
  <c r="AF9" i="2"/>
  <c r="AG9" i="2"/>
  <c r="AJ9" i="2"/>
  <c r="AN9" i="2"/>
  <c r="AP9" i="2"/>
  <c r="BR9" i="2" s="1"/>
  <c r="BS9" i="2" s="1"/>
  <c r="AS9" i="2"/>
  <c r="BO9" i="2" s="1"/>
  <c r="AY9" i="2"/>
  <c r="AZ9" i="2"/>
  <c r="BB9" i="2"/>
  <c r="BC9" i="2"/>
  <c r="BG9" i="2"/>
  <c r="BI9" i="2" s="1"/>
  <c r="BH9" i="2"/>
  <c r="BJ9" i="2"/>
  <c r="BL9" i="2"/>
  <c r="BM9" i="2"/>
  <c r="BP9" i="2"/>
  <c r="BQ9" i="2"/>
  <c r="BT9" i="2"/>
  <c r="CB9" i="2" s="1"/>
  <c r="BV9" i="2"/>
  <c r="BX9" i="2"/>
  <c r="CA9" i="2"/>
  <c r="CC9" i="2"/>
  <c r="CE9" i="2"/>
  <c r="CF9" i="2"/>
  <c r="CG9" i="2"/>
  <c r="CI9" i="2"/>
  <c r="CK9" i="2"/>
  <c r="CM9" i="2"/>
  <c r="CV9" i="2"/>
  <c r="CX9" i="2"/>
  <c r="CZ9" i="2"/>
  <c r="DB9" i="2"/>
  <c r="DD9" i="2"/>
  <c r="DE9" i="2"/>
  <c r="DH9" i="2"/>
  <c r="DI9" i="2"/>
  <c r="B4" i="2"/>
  <c r="C4" i="2"/>
  <c r="D4" i="2"/>
  <c r="E4" i="2"/>
  <c r="F4" i="2"/>
  <c r="G4" i="2"/>
  <c r="H4" i="2"/>
  <c r="I4" i="2"/>
  <c r="J4" i="2"/>
  <c r="L4" i="2"/>
  <c r="CT4" i="2" s="1"/>
  <c r="M4" i="2"/>
  <c r="N4" i="2" s="1"/>
  <c r="O4" i="2"/>
  <c r="P4" i="2"/>
  <c r="Q4" i="2"/>
  <c r="S4" i="2"/>
  <c r="T4" i="2" s="1"/>
  <c r="V4" i="2"/>
  <c r="X4" i="2"/>
  <c r="AA4" i="2"/>
  <c r="AB4" i="2"/>
  <c r="AC4" i="2"/>
  <c r="AD4" i="2"/>
  <c r="AE4" i="2"/>
  <c r="AF4" i="2"/>
  <c r="AG4" i="2"/>
  <c r="AJ4" i="2"/>
  <c r="AN4" i="2"/>
  <c r="AP4" i="2"/>
  <c r="AQ4" i="2" s="1"/>
  <c r="AS4" i="2"/>
  <c r="BN4" i="2" s="1"/>
  <c r="AY4" i="2"/>
  <c r="AZ4" i="2"/>
  <c r="BB4" i="2"/>
  <c r="BC4" i="2"/>
  <c r="BG4" i="2"/>
  <c r="BI4" i="2" s="1"/>
  <c r="BH4" i="2"/>
  <c r="BJ4" i="2"/>
  <c r="BL4" i="2"/>
  <c r="BM4" i="2"/>
  <c r="BP4" i="2"/>
  <c r="BQ4" i="2"/>
  <c r="BT4" i="2"/>
  <c r="BV4" i="2"/>
  <c r="BX4" i="2"/>
  <c r="BY4" i="2" s="1"/>
  <c r="CA4" i="2"/>
  <c r="CC4" i="2"/>
  <c r="CE4" i="2"/>
  <c r="CF4" i="2"/>
  <c r="CG4" i="2"/>
  <c r="CI4" i="2"/>
  <c r="CK4" i="2"/>
  <c r="CM4" i="2"/>
  <c r="CV4" i="2"/>
  <c r="CX4" i="2"/>
  <c r="CZ4" i="2"/>
  <c r="DB4" i="2"/>
  <c r="DD4" i="2"/>
  <c r="DE4" i="2"/>
  <c r="DH4" i="2"/>
  <c r="DI4" i="2"/>
  <c r="B5" i="2"/>
  <c r="C5" i="2"/>
  <c r="D5" i="2"/>
  <c r="E5" i="2"/>
  <c r="F5" i="2"/>
  <c r="G5" i="2"/>
  <c r="H5" i="2"/>
  <c r="I5" i="2"/>
  <c r="J5" i="2"/>
  <c r="L5" i="2"/>
  <c r="CH5" i="2" s="1"/>
  <c r="M5" i="2"/>
  <c r="N5" i="2" s="1"/>
  <c r="O5" i="2"/>
  <c r="P5" i="2"/>
  <c r="Q5" i="2"/>
  <c r="S5" i="2"/>
  <c r="V5" i="2"/>
  <c r="X5" i="2"/>
  <c r="AA5" i="2"/>
  <c r="AB5" i="2"/>
  <c r="AC5" i="2"/>
  <c r="AD5" i="2"/>
  <c r="AE5" i="2"/>
  <c r="AF5" i="2"/>
  <c r="AI5" i="2" s="1"/>
  <c r="AG5" i="2"/>
  <c r="AJ5" i="2"/>
  <c r="AN5" i="2"/>
  <c r="AP5" i="2"/>
  <c r="BR5" i="2" s="1"/>
  <c r="BS5" i="2" s="1"/>
  <c r="AS5" i="2"/>
  <c r="AY5" i="2"/>
  <c r="AZ5" i="2"/>
  <c r="BB5" i="2"/>
  <c r="BC5" i="2"/>
  <c r="BG5" i="2"/>
  <c r="BI5" i="2" s="1"/>
  <c r="BH5" i="2"/>
  <c r="BJ5" i="2"/>
  <c r="BL5" i="2"/>
  <c r="BM5" i="2"/>
  <c r="BP5" i="2"/>
  <c r="BQ5" i="2"/>
  <c r="BT5" i="2"/>
  <c r="BV5" i="2"/>
  <c r="BX5" i="2"/>
  <c r="CA5" i="2"/>
  <c r="CC5" i="2"/>
  <c r="CE5" i="2"/>
  <c r="CF5" i="2"/>
  <c r="CG5" i="2"/>
  <c r="CI5" i="2"/>
  <c r="CK5" i="2"/>
  <c r="CM5" i="2"/>
  <c r="CV5" i="2"/>
  <c r="CX5" i="2"/>
  <c r="CZ5" i="2"/>
  <c r="DB5" i="2"/>
  <c r="DD5" i="2"/>
  <c r="DE5" i="2"/>
  <c r="DH5" i="2"/>
  <c r="DI5" i="2"/>
  <c r="B7" i="2"/>
  <c r="C7" i="2"/>
  <c r="D7" i="2"/>
  <c r="E7" i="2"/>
  <c r="F7" i="2"/>
  <c r="G7" i="2"/>
  <c r="H7" i="2"/>
  <c r="I7" i="2"/>
  <c r="J7" i="2"/>
  <c r="L7" i="2"/>
  <c r="CT7" i="2" s="1"/>
  <c r="M7" i="2"/>
  <c r="N7" i="2" s="1"/>
  <c r="O7" i="2"/>
  <c r="P7" i="2"/>
  <c r="Q7" i="2"/>
  <c r="S7" i="2"/>
  <c r="V7" i="2"/>
  <c r="X7" i="2"/>
  <c r="AA7" i="2"/>
  <c r="AB7" i="2"/>
  <c r="AC7" i="2"/>
  <c r="AD7" i="2"/>
  <c r="AE7" i="2"/>
  <c r="AF7" i="2"/>
  <c r="AG7" i="2"/>
  <c r="AJ7" i="2"/>
  <c r="AN7" i="2"/>
  <c r="AP7" i="2"/>
  <c r="AS7" i="2"/>
  <c r="AY7" i="2"/>
  <c r="AZ7" i="2"/>
  <c r="BB7" i="2"/>
  <c r="BC7" i="2"/>
  <c r="BG7" i="2"/>
  <c r="BI7" i="2" s="1"/>
  <c r="BH7" i="2"/>
  <c r="BJ7" i="2"/>
  <c r="BL7" i="2"/>
  <c r="BM7" i="2"/>
  <c r="BP7" i="2"/>
  <c r="BQ7" i="2"/>
  <c r="BT7" i="2"/>
  <c r="BV7" i="2"/>
  <c r="BX7" i="2"/>
  <c r="CA7" i="2"/>
  <c r="CC7" i="2"/>
  <c r="CE7" i="2"/>
  <c r="CF7" i="2"/>
  <c r="CG7" i="2"/>
  <c r="CI7" i="2"/>
  <c r="CK7" i="2"/>
  <c r="CM7" i="2"/>
  <c r="CV7" i="2"/>
  <c r="CX7" i="2"/>
  <c r="CZ7" i="2"/>
  <c r="DB7" i="2"/>
  <c r="DD7" i="2"/>
  <c r="DE7" i="2"/>
  <c r="DH7" i="2"/>
  <c r="DI7" i="2"/>
  <c r="B10" i="2"/>
  <c r="C10" i="2"/>
  <c r="D10" i="2"/>
  <c r="E10" i="2"/>
  <c r="F10" i="2"/>
  <c r="G10" i="2"/>
  <c r="H10" i="2"/>
  <c r="I10" i="2"/>
  <c r="J10" i="2"/>
  <c r="L10" i="2"/>
  <c r="M10" i="2"/>
  <c r="N10" i="2" s="1"/>
  <c r="O10" i="2"/>
  <c r="P10" i="2"/>
  <c r="Q10" i="2"/>
  <c r="S10" i="2"/>
  <c r="T10" i="2" s="1"/>
  <c r="V10" i="2"/>
  <c r="X10" i="2"/>
  <c r="AA10" i="2"/>
  <c r="AB10" i="2"/>
  <c r="AC10" i="2"/>
  <c r="AD10" i="2"/>
  <c r="AE10" i="2"/>
  <c r="AF10" i="2"/>
  <c r="AI10" i="2" s="1"/>
  <c r="AG10" i="2"/>
  <c r="AJ10" i="2"/>
  <c r="AN10" i="2"/>
  <c r="AP10" i="2"/>
  <c r="BR10" i="2" s="1"/>
  <c r="BS10" i="2" s="1"/>
  <c r="AS10" i="2"/>
  <c r="AY10" i="2"/>
  <c r="AZ10" i="2"/>
  <c r="BB10" i="2"/>
  <c r="BC10" i="2"/>
  <c r="BG10" i="2"/>
  <c r="BI10" i="2" s="1"/>
  <c r="BH10" i="2"/>
  <c r="BJ10" i="2"/>
  <c r="BL10" i="2"/>
  <c r="BM10" i="2"/>
  <c r="BP10" i="2"/>
  <c r="BQ10" i="2"/>
  <c r="BT10" i="2"/>
  <c r="CB10" i="2" s="1"/>
  <c r="BV10" i="2"/>
  <c r="BX10" i="2"/>
  <c r="CA10" i="2"/>
  <c r="CC10" i="2"/>
  <c r="CE10" i="2"/>
  <c r="CF10" i="2"/>
  <c r="CG10" i="2"/>
  <c r="CI10" i="2"/>
  <c r="CK10" i="2"/>
  <c r="CM10" i="2"/>
  <c r="CV10" i="2"/>
  <c r="CX10" i="2"/>
  <c r="CZ10" i="2"/>
  <c r="DB10" i="2"/>
  <c r="DD10" i="2"/>
  <c r="DE10" i="2"/>
  <c r="DH10" i="2"/>
  <c r="DI10" i="2"/>
  <c r="B6" i="2"/>
  <c r="C6" i="2"/>
  <c r="D6" i="2"/>
  <c r="E6" i="2"/>
  <c r="F6" i="2"/>
  <c r="G6" i="2"/>
  <c r="H6" i="2"/>
  <c r="I6" i="2"/>
  <c r="J6" i="2"/>
  <c r="L6" i="2"/>
  <c r="M6" i="2"/>
  <c r="N6" i="2" s="1"/>
  <c r="O6" i="2"/>
  <c r="P6" i="2"/>
  <c r="Q6" i="2"/>
  <c r="S6" i="2"/>
  <c r="T6" i="2" s="1"/>
  <c r="V6" i="2"/>
  <c r="X6" i="2"/>
  <c r="AA6" i="2"/>
  <c r="AB6" i="2"/>
  <c r="AC6" i="2"/>
  <c r="AD6" i="2"/>
  <c r="AE6" i="2"/>
  <c r="AF6" i="2"/>
  <c r="AI6" i="2" s="1"/>
  <c r="AG6" i="2"/>
  <c r="AJ6" i="2"/>
  <c r="AN6" i="2"/>
  <c r="AO6" i="2" s="1"/>
  <c r="AP6" i="2"/>
  <c r="BR6" i="2" s="1"/>
  <c r="BS6" i="2" s="1"/>
  <c r="AS6" i="2"/>
  <c r="AW6" i="2" s="1"/>
  <c r="AY6" i="2"/>
  <c r="AZ6" i="2"/>
  <c r="BB6" i="2"/>
  <c r="BC6" i="2"/>
  <c r="BG6" i="2"/>
  <c r="BI6" i="2" s="1"/>
  <c r="BH6" i="2"/>
  <c r="BJ6" i="2"/>
  <c r="BL6" i="2"/>
  <c r="BM6" i="2"/>
  <c r="BP6" i="2"/>
  <c r="BQ6" i="2"/>
  <c r="BT6" i="2"/>
  <c r="CB6" i="2" s="1"/>
  <c r="BV6" i="2"/>
  <c r="BX6" i="2"/>
  <c r="CA6" i="2"/>
  <c r="CC6" i="2"/>
  <c r="CE6" i="2"/>
  <c r="CF6" i="2"/>
  <c r="CG6" i="2"/>
  <c r="CI6" i="2"/>
  <c r="CK6" i="2"/>
  <c r="CM6" i="2"/>
  <c r="CV6" i="2"/>
  <c r="CX6" i="2"/>
  <c r="CZ6" i="2"/>
  <c r="DB6" i="2"/>
  <c r="DD6" i="2"/>
  <c r="DE6" i="2"/>
  <c r="DH6" i="2"/>
  <c r="DI6" i="2"/>
  <c r="A2" i="2"/>
  <c r="A3" i="2"/>
  <c r="A4" i="2"/>
  <c r="A5" i="2"/>
  <c r="A6" i="2"/>
  <c r="A7" i="2"/>
  <c r="A8" i="2"/>
  <c r="A9" i="2"/>
  <c r="A10" i="2"/>
  <c r="A11" i="2"/>
  <c r="A11" i="16"/>
  <c r="B4" i="16"/>
  <c r="C4" i="16"/>
  <c r="D4" i="16"/>
  <c r="E4" i="16"/>
  <c r="F4" i="16"/>
  <c r="G4" i="16"/>
  <c r="H4" i="16"/>
  <c r="I4" i="16"/>
  <c r="J4" i="16"/>
  <c r="L4" i="16"/>
  <c r="BY4" i="16" s="1"/>
  <c r="M4" i="16"/>
  <c r="N4" i="16" s="1"/>
  <c r="O4" i="16"/>
  <c r="P4" i="16"/>
  <c r="Q4" i="16"/>
  <c r="R4" i="16"/>
  <c r="U4" i="16"/>
  <c r="Y4" i="16"/>
  <c r="AC4" i="16"/>
  <c r="AD4" i="16"/>
  <c r="AF4" i="16"/>
  <c r="AG4" i="16"/>
  <c r="AH4" i="16"/>
  <c r="AJ4" i="16"/>
  <c r="AL4" i="16"/>
  <c r="AN4" i="16"/>
  <c r="AU4" i="16"/>
  <c r="AV4" i="16"/>
  <c r="AW4" i="16"/>
  <c r="AY4" i="16"/>
  <c r="BF4" i="16"/>
  <c r="BH4" i="16"/>
  <c r="BK4" i="16"/>
  <c r="BM4" i="16"/>
  <c r="BO4" i="16"/>
  <c r="BQ4" i="16"/>
  <c r="BT4" i="16"/>
  <c r="BV4" i="16"/>
  <c r="BX4" i="16"/>
  <c r="CA4" i="16"/>
  <c r="CC4" i="16"/>
  <c r="CF4" i="16"/>
  <c r="CH4" i="16"/>
  <c r="CK4" i="16"/>
  <c r="CM4" i="16" s="1"/>
  <c r="CN4" i="16"/>
  <c r="CP4" i="16"/>
  <c r="CQ4" i="16"/>
  <c r="CS4" i="16"/>
  <c r="CU4" i="16"/>
  <c r="CW4" i="16"/>
  <c r="CZ4" i="16"/>
  <c r="DB4" i="16"/>
  <c r="DD4" i="16"/>
  <c r="DF4" i="16"/>
  <c r="DI4" i="16"/>
  <c r="DK4" i="16"/>
  <c r="DN4" i="16"/>
  <c r="DO4" i="16"/>
  <c r="DZ4" i="16"/>
  <c r="EB4" i="16"/>
  <c r="EC4" i="16"/>
  <c r="EE4" i="16"/>
  <c r="EH4" i="16"/>
  <c r="EI4" i="16"/>
  <c r="B3" i="16"/>
  <c r="C3" i="16"/>
  <c r="D3" i="16"/>
  <c r="E3" i="16"/>
  <c r="F3" i="16"/>
  <c r="G3" i="16"/>
  <c r="H3" i="16"/>
  <c r="I3" i="16"/>
  <c r="J3" i="16"/>
  <c r="L3" i="16"/>
  <c r="M3" i="16"/>
  <c r="N3" i="16" s="1"/>
  <c r="O3" i="16"/>
  <c r="P3" i="16"/>
  <c r="Q3" i="16"/>
  <c r="R3" i="16"/>
  <c r="U3" i="16"/>
  <c r="Y3" i="16"/>
  <c r="AC3" i="16"/>
  <c r="AD3" i="16"/>
  <c r="AF3" i="16"/>
  <c r="AG3" i="16"/>
  <c r="AH3" i="16"/>
  <c r="AJ3" i="16"/>
  <c r="AL3" i="16"/>
  <c r="AN3" i="16"/>
  <c r="AU3" i="16"/>
  <c r="AV3" i="16"/>
  <c r="AW3" i="16"/>
  <c r="AY3" i="16"/>
  <c r="BF3" i="16"/>
  <c r="BH3" i="16"/>
  <c r="BK3" i="16"/>
  <c r="BM3" i="16"/>
  <c r="BO3" i="16"/>
  <c r="BQ3" i="16"/>
  <c r="BT3" i="16"/>
  <c r="BV3" i="16"/>
  <c r="BX3" i="16"/>
  <c r="CA3" i="16"/>
  <c r="CC3" i="16"/>
  <c r="CF3" i="16"/>
  <c r="CH3" i="16"/>
  <c r="CK3" i="16"/>
  <c r="CN3" i="16"/>
  <c r="CP3" i="16"/>
  <c r="CQ3" i="16"/>
  <c r="CS3" i="16"/>
  <c r="CU3" i="16"/>
  <c r="CW3" i="16"/>
  <c r="CZ3" i="16"/>
  <c r="DB3" i="16"/>
  <c r="DD3" i="16"/>
  <c r="DF3" i="16"/>
  <c r="DI3" i="16"/>
  <c r="DK3" i="16"/>
  <c r="DN3" i="16"/>
  <c r="DO3" i="16"/>
  <c r="DZ3" i="16"/>
  <c r="EB3" i="16"/>
  <c r="EC3" i="16"/>
  <c r="EE3" i="16"/>
  <c r="EH3" i="16"/>
  <c r="EI3" i="16"/>
  <c r="B9" i="16"/>
  <c r="C9" i="16"/>
  <c r="D9" i="16"/>
  <c r="E9" i="16"/>
  <c r="F9" i="16"/>
  <c r="G9" i="16"/>
  <c r="H9" i="16"/>
  <c r="I9" i="16"/>
  <c r="J9" i="16"/>
  <c r="L9" i="16"/>
  <c r="M9" i="16"/>
  <c r="N9" i="16" s="1"/>
  <c r="O9" i="16"/>
  <c r="P9" i="16"/>
  <c r="Q9" i="16"/>
  <c r="R9" i="16"/>
  <c r="U9" i="16"/>
  <c r="W9" i="16" s="1"/>
  <c r="Y9" i="16"/>
  <c r="AC9" i="16"/>
  <c r="AD9" i="16"/>
  <c r="AF9" i="16"/>
  <c r="AG9" i="16"/>
  <c r="AH9" i="16"/>
  <c r="AJ9" i="16"/>
  <c r="AL9" i="16"/>
  <c r="AN9" i="16"/>
  <c r="AU9" i="16"/>
  <c r="AV9" i="16"/>
  <c r="AW9" i="16"/>
  <c r="AY9" i="16"/>
  <c r="BF9" i="16"/>
  <c r="BH9" i="16"/>
  <c r="BK9" i="16"/>
  <c r="BM9" i="16"/>
  <c r="BO9" i="16"/>
  <c r="BQ9" i="16"/>
  <c r="BT9" i="16"/>
  <c r="BV9" i="16"/>
  <c r="BX9" i="16"/>
  <c r="CA9" i="16"/>
  <c r="CC9" i="16"/>
  <c r="CF9" i="16"/>
  <c r="CH9" i="16"/>
  <c r="CK9" i="16"/>
  <c r="CN9" i="16"/>
  <c r="CP9" i="16"/>
  <c r="CQ9" i="16"/>
  <c r="CS9" i="16"/>
  <c r="CU9" i="16"/>
  <c r="CW9" i="16"/>
  <c r="CZ9" i="16"/>
  <c r="DB9" i="16"/>
  <c r="DD9" i="16"/>
  <c r="DF9" i="16"/>
  <c r="DI9" i="16"/>
  <c r="DK9" i="16"/>
  <c r="DN9" i="16"/>
  <c r="DO9" i="16"/>
  <c r="DZ9" i="16"/>
  <c r="EB9" i="16"/>
  <c r="EC9" i="16"/>
  <c r="EE9" i="16"/>
  <c r="EH9" i="16"/>
  <c r="EI9" i="16"/>
  <c r="B5" i="16"/>
  <c r="C5" i="16"/>
  <c r="D5" i="16"/>
  <c r="E5" i="16"/>
  <c r="F5" i="16"/>
  <c r="G5" i="16"/>
  <c r="H5" i="16"/>
  <c r="I5" i="16"/>
  <c r="J5" i="16"/>
  <c r="L5" i="16"/>
  <c r="BJ5" i="16" s="1"/>
  <c r="M5" i="16"/>
  <c r="N5" i="16" s="1"/>
  <c r="O5" i="16"/>
  <c r="P5" i="16"/>
  <c r="Q5" i="16"/>
  <c r="R5" i="16"/>
  <c r="U5" i="16"/>
  <c r="W5" i="16" s="1"/>
  <c r="BB5" i="16" s="1"/>
  <c r="Y5" i="16"/>
  <c r="AC5" i="16"/>
  <c r="AD5" i="16"/>
  <c r="AF5" i="16"/>
  <c r="AG5" i="16"/>
  <c r="AH5" i="16"/>
  <c r="AJ5" i="16"/>
  <c r="AL5" i="16"/>
  <c r="AN5" i="16"/>
  <c r="AU5" i="16"/>
  <c r="AT5" i="16" s="1"/>
  <c r="AV5" i="16"/>
  <c r="AW5" i="16"/>
  <c r="AY5" i="16"/>
  <c r="BF5" i="16"/>
  <c r="BH5" i="16"/>
  <c r="BK5" i="16"/>
  <c r="BM5" i="16"/>
  <c r="BO5" i="16"/>
  <c r="BQ5" i="16"/>
  <c r="BT5" i="16"/>
  <c r="BV5" i="16"/>
  <c r="BX5" i="16"/>
  <c r="CA5" i="16"/>
  <c r="CC5" i="16"/>
  <c r="CF5" i="16"/>
  <c r="CH5" i="16"/>
  <c r="CK5" i="16"/>
  <c r="CN5" i="16"/>
  <c r="CP5" i="16"/>
  <c r="CQ5" i="16"/>
  <c r="CS5" i="16"/>
  <c r="CU5" i="16"/>
  <c r="CW5" i="16"/>
  <c r="CZ5" i="16"/>
  <c r="DB5" i="16"/>
  <c r="DD5" i="16"/>
  <c r="DF5" i="16"/>
  <c r="DI5" i="16"/>
  <c r="DK5" i="16"/>
  <c r="DN5" i="16"/>
  <c r="DO5" i="16"/>
  <c r="DZ5" i="16"/>
  <c r="EB5" i="16"/>
  <c r="EC5" i="16"/>
  <c r="EE5" i="16"/>
  <c r="EH5" i="16"/>
  <c r="EI5" i="16"/>
  <c r="B2" i="16"/>
  <c r="C2" i="16"/>
  <c r="D2" i="16"/>
  <c r="E2" i="16"/>
  <c r="F2" i="16"/>
  <c r="G2" i="16"/>
  <c r="H2" i="16"/>
  <c r="I2" i="16"/>
  <c r="J2" i="16"/>
  <c r="L2" i="16"/>
  <c r="BJ2" i="16" s="1"/>
  <c r="M2" i="16"/>
  <c r="N2" i="16" s="1"/>
  <c r="O2" i="16"/>
  <c r="P2" i="16"/>
  <c r="Q2" i="16"/>
  <c r="R2" i="16"/>
  <c r="U2" i="16"/>
  <c r="W2" i="16" s="1"/>
  <c r="Y2" i="16"/>
  <c r="AC2" i="16"/>
  <c r="AD2" i="16"/>
  <c r="AF2" i="16"/>
  <c r="AG2" i="16"/>
  <c r="AH2" i="16"/>
  <c r="AJ2" i="16"/>
  <c r="AL2" i="16"/>
  <c r="AN2" i="16"/>
  <c r="AU2" i="16"/>
  <c r="AV2" i="16"/>
  <c r="AW2" i="16"/>
  <c r="AY2" i="16"/>
  <c r="BF2" i="16"/>
  <c r="BH2" i="16"/>
  <c r="BK2" i="16"/>
  <c r="BM2" i="16"/>
  <c r="BO2" i="16"/>
  <c r="BQ2" i="16"/>
  <c r="BT2" i="16"/>
  <c r="BV2" i="16"/>
  <c r="BX2" i="16"/>
  <c r="CA2" i="16"/>
  <c r="CC2" i="16"/>
  <c r="CF2" i="16"/>
  <c r="CH2" i="16"/>
  <c r="CK2" i="16"/>
  <c r="CM2" i="16" s="1"/>
  <c r="CN2" i="16"/>
  <c r="CP2" i="16"/>
  <c r="CQ2" i="16"/>
  <c r="CS2" i="16"/>
  <c r="CU2" i="16"/>
  <c r="CW2" i="16"/>
  <c r="CZ2" i="16"/>
  <c r="DB2" i="16"/>
  <c r="DD2" i="16"/>
  <c r="DF2" i="16"/>
  <c r="DI2" i="16"/>
  <c r="DK2" i="16"/>
  <c r="DN2" i="16"/>
  <c r="DO2" i="16"/>
  <c r="DZ2" i="16"/>
  <c r="EB2" i="16"/>
  <c r="EC2" i="16"/>
  <c r="EE2" i="16"/>
  <c r="EH2" i="16"/>
  <c r="EI2" i="16"/>
  <c r="B10" i="16"/>
  <c r="C10" i="16"/>
  <c r="D10" i="16"/>
  <c r="E10" i="16"/>
  <c r="F10" i="16"/>
  <c r="G10" i="16"/>
  <c r="H10" i="16"/>
  <c r="I10" i="16"/>
  <c r="J10" i="16"/>
  <c r="L10" i="16"/>
  <c r="M10" i="16"/>
  <c r="N10" i="16" s="1"/>
  <c r="O10" i="16"/>
  <c r="P10" i="16"/>
  <c r="Q10" i="16"/>
  <c r="R10" i="16"/>
  <c r="U10" i="16"/>
  <c r="Y10" i="16"/>
  <c r="AC10" i="16"/>
  <c r="AD10" i="16"/>
  <c r="AF10" i="16"/>
  <c r="AG10" i="16"/>
  <c r="AH10" i="16"/>
  <c r="AJ10" i="16"/>
  <c r="AL10" i="16"/>
  <c r="AN10" i="16"/>
  <c r="AU10" i="16"/>
  <c r="AV10" i="16"/>
  <c r="AW10" i="16"/>
  <c r="AY10" i="16"/>
  <c r="BF10" i="16"/>
  <c r="BH10" i="16"/>
  <c r="BK10" i="16"/>
  <c r="BM10" i="16"/>
  <c r="BO10" i="16"/>
  <c r="BQ10" i="16"/>
  <c r="BT10" i="16"/>
  <c r="BV10" i="16"/>
  <c r="BX10" i="16"/>
  <c r="CA10" i="16"/>
  <c r="CC10" i="16"/>
  <c r="CF10" i="16"/>
  <c r="CH10" i="16"/>
  <c r="CK10" i="16"/>
  <c r="CN10" i="16"/>
  <c r="CP10" i="16"/>
  <c r="CQ10" i="16"/>
  <c r="CS10" i="16"/>
  <c r="CU10" i="16"/>
  <c r="CW10" i="16"/>
  <c r="CZ10" i="16"/>
  <c r="DB10" i="16"/>
  <c r="DD10" i="16"/>
  <c r="DF10" i="16"/>
  <c r="DI10" i="16"/>
  <c r="DK10" i="16"/>
  <c r="DN10" i="16"/>
  <c r="DO10" i="16"/>
  <c r="DZ10" i="16"/>
  <c r="EB10" i="16"/>
  <c r="EC10" i="16"/>
  <c r="EE10" i="16"/>
  <c r="EH10" i="16"/>
  <c r="EI10" i="16"/>
  <c r="B7" i="16"/>
  <c r="C7" i="16"/>
  <c r="D7" i="16"/>
  <c r="E7" i="16"/>
  <c r="F7" i="16"/>
  <c r="G7" i="16"/>
  <c r="H7" i="16"/>
  <c r="I7" i="16"/>
  <c r="J7" i="16"/>
  <c r="L7" i="16"/>
  <c r="BY7" i="16" s="1"/>
  <c r="M7" i="16"/>
  <c r="N7" i="16" s="1"/>
  <c r="O7" i="16"/>
  <c r="P7" i="16"/>
  <c r="Q7" i="16"/>
  <c r="R7" i="16"/>
  <c r="U7" i="16"/>
  <c r="BD7" i="16" s="1"/>
  <c r="Y7" i="16"/>
  <c r="AC7" i="16"/>
  <c r="AD7" i="16"/>
  <c r="AF7" i="16"/>
  <c r="AG7" i="16"/>
  <c r="AH7" i="16"/>
  <c r="AJ7" i="16"/>
  <c r="AL7" i="16"/>
  <c r="AN7" i="16"/>
  <c r="AU7" i="16"/>
  <c r="AV7" i="16"/>
  <c r="AW7" i="16"/>
  <c r="AY7" i="16"/>
  <c r="BF7" i="16"/>
  <c r="BH7" i="16"/>
  <c r="BK7" i="16"/>
  <c r="BM7" i="16"/>
  <c r="BO7" i="16"/>
  <c r="BQ7" i="16"/>
  <c r="BT7" i="16"/>
  <c r="BV7" i="16"/>
  <c r="BX7" i="16"/>
  <c r="CA7" i="16"/>
  <c r="CC7" i="16"/>
  <c r="CF7" i="16"/>
  <c r="CH7" i="16"/>
  <c r="CK7" i="16"/>
  <c r="CN7" i="16"/>
  <c r="CP7" i="16"/>
  <c r="CQ7" i="16"/>
  <c r="CS7" i="16"/>
  <c r="CU7" i="16"/>
  <c r="CW7" i="16"/>
  <c r="CZ7" i="16"/>
  <c r="DB7" i="16"/>
  <c r="DD7" i="16"/>
  <c r="DF7" i="16"/>
  <c r="DI7" i="16"/>
  <c r="DK7" i="16"/>
  <c r="DN7" i="16"/>
  <c r="DO7" i="16"/>
  <c r="DZ7" i="16"/>
  <c r="EB7" i="16"/>
  <c r="EC7" i="16"/>
  <c r="EE7" i="16"/>
  <c r="EH7" i="16"/>
  <c r="EI7" i="16"/>
  <c r="B6" i="16"/>
  <c r="C6" i="16"/>
  <c r="D6" i="16"/>
  <c r="E6" i="16"/>
  <c r="F6" i="16"/>
  <c r="G6" i="16"/>
  <c r="H6" i="16"/>
  <c r="I6" i="16"/>
  <c r="J6" i="16"/>
  <c r="L6" i="16"/>
  <c r="M6" i="16"/>
  <c r="N6" i="16" s="1"/>
  <c r="O6" i="16"/>
  <c r="P6" i="16"/>
  <c r="Q6" i="16"/>
  <c r="R6" i="16"/>
  <c r="U6" i="16"/>
  <c r="W6" i="16" s="1"/>
  <c r="BC6" i="16" s="1"/>
  <c r="Y6" i="16"/>
  <c r="AC6" i="16"/>
  <c r="AD6" i="16"/>
  <c r="AF6" i="16"/>
  <c r="AG6" i="16"/>
  <c r="AH6" i="16"/>
  <c r="AJ6" i="16"/>
  <c r="AL6" i="16"/>
  <c r="AN6" i="16"/>
  <c r="AU6" i="16"/>
  <c r="AV6" i="16"/>
  <c r="AW6" i="16"/>
  <c r="AY6" i="16"/>
  <c r="BF6" i="16"/>
  <c r="BH6" i="16"/>
  <c r="BK6" i="16"/>
  <c r="BM6" i="16"/>
  <c r="BO6" i="16"/>
  <c r="BQ6" i="16"/>
  <c r="BT6" i="16"/>
  <c r="BV6" i="16"/>
  <c r="BX6" i="16"/>
  <c r="CA6" i="16"/>
  <c r="CC6" i="16"/>
  <c r="CF6" i="16"/>
  <c r="CH6" i="16"/>
  <c r="CK6" i="16"/>
  <c r="CN6" i="16"/>
  <c r="CP6" i="16"/>
  <c r="CQ6" i="16"/>
  <c r="CS6" i="16"/>
  <c r="CU6" i="16"/>
  <c r="CW6" i="16"/>
  <c r="CZ6" i="16"/>
  <c r="DB6" i="16"/>
  <c r="DD6" i="16"/>
  <c r="DF6" i="16"/>
  <c r="DI6" i="16"/>
  <c r="DK6" i="16"/>
  <c r="DN6" i="16"/>
  <c r="DO6" i="16"/>
  <c r="DZ6" i="16"/>
  <c r="EA6" i="16" s="1"/>
  <c r="EB6" i="16"/>
  <c r="EC6" i="16"/>
  <c r="EE6" i="16"/>
  <c r="EH6" i="16"/>
  <c r="EI6" i="16"/>
  <c r="B8" i="16"/>
  <c r="C8" i="16"/>
  <c r="D8" i="16"/>
  <c r="E8" i="16"/>
  <c r="F8" i="16"/>
  <c r="G8" i="16"/>
  <c r="H8" i="16"/>
  <c r="I8" i="16"/>
  <c r="J8" i="16"/>
  <c r="L8" i="16"/>
  <c r="BJ8" i="16" s="1"/>
  <c r="M8" i="16"/>
  <c r="N8" i="16" s="1"/>
  <c r="O8" i="16"/>
  <c r="P8" i="16"/>
  <c r="Q8" i="16"/>
  <c r="R8" i="16"/>
  <c r="U8" i="16"/>
  <c r="Y8" i="16"/>
  <c r="AC8" i="16"/>
  <c r="AD8" i="16"/>
  <c r="AF8" i="16"/>
  <c r="AG8" i="16"/>
  <c r="AH8" i="16"/>
  <c r="AJ8" i="16"/>
  <c r="AL8" i="16"/>
  <c r="AN8" i="16"/>
  <c r="AU8" i="16"/>
  <c r="AT8" i="16" s="1"/>
  <c r="DS8" i="16" s="1"/>
  <c r="DT8" i="16" s="1"/>
  <c r="AV8" i="16"/>
  <c r="AW8" i="16"/>
  <c r="AX8" i="16" s="1"/>
  <c r="AY8" i="16"/>
  <c r="BF8" i="16"/>
  <c r="BH8" i="16"/>
  <c r="BK8" i="16"/>
  <c r="BM8" i="16"/>
  <c r="BO8" i="16"/>
  <c r="BQ8" i="16"/>
  <c r="BT8" i="16"/>
  <c r="BV8" i="16"/>
  <c r="BX8" i="16"/>
  <c r="CA8" i="16"/>
  <c r="CC8" i="16"/>
  <c r="CF8" i="16"/>
  <c r="CH8" i="16"/>
  <c r="CK8" i="16"/>
  <c r="CN8" i="16"/>
  <c r="CP8" i="16"/>
  <c r="CQ8" i="16"/>
  <c r="CS8" i="16"/>
  <c r="CU8" i="16"/>
  <c r="CW8" i="16"/>
  <c r="CZ8" i="16"/>
  <c r="DB8" i="16"/>
  <c r="DD8" i="16"/>
  <c r="DF8" i="16"/>
  <c r="DI8" i="16"/>
  <c r="DK8" i="16"/>
  <c r="DN8" i="16"/>
  <c r="DO8" i="16"/>
  <c r="DZ8" i="16"/>
  <c r="EA8" i="16" s="1"/>
  <c r="EB8" i="16"/>
  <c r="EC8" i="16"/>
  <c r="EE8" i="16"/>
  <c r="EH8" i="16"/>
  <c r="EI8" i="16"/>
  <c r="B11" i="16"/>
  <c r="C11" i="16"/>
  <c r="D11" i="16"/>
  <c r="E11" i="16"/>
  <c r="F11" i="16"/>
  <c r="G11" i="16"/>
  <c r="H11" i="16"/>
  <c r="I11" i="16"/>
  <c r="J11" i="16"/>
  <c r="L11" i="16"/>
  <c r="M11" i="16"/>
  <c r="N11" i="16" s="1"/>
  <c r="O11" i="16"/>
  <c r="P11" i="16"/>
  <c r="Q11" i="16"/>
  <c r="R11" i="16"/>
  <c r="U11" i="16"/>
  <c r="BD11" i="16" s="1"/>
  <c r="Y11" i="16"/>
  <c r="AC11" i="16"/>
  <c r="AD11" i="16"/>
  <c r="AF11" i="16"/>
  <c r="AG11" i="16"/>
  <c r="AH11" i="16"/>
  <c r="AJ11" i="16"/>
  <c r="AL11" i="16"/>
  <c r="AN11" i="16"/>
  <c r="AU11" i="16"/>
  <c r="AV11" i="16"/>
  <c r="AW11" i="16"/>
  <c r="AY11" i="16"/>
  <c r="BF11" i="16"/>
  <c r="BH11" i="16"/>
  <c r="BK11" i="16"/>
  <c r="BM11" i="16"/>
  <c r="BO11" i="16"/>
  <c r="BQ11" i="16"/>
  <c r="BT11" i="16"/>
  <c r="BV11" i="16"/>
  <c r="BX11" i="16"/>
  <c r="CA11" i="16"/>
  <c r="CC11" i="16"/>
  <c r="CF11" i="16"/>
  <c r="CH11" i="16"/>
  <c r="CK11" i="16"/>
  <c r="CN11" i="16"/>
  <c r="CP11" i="16"/>
  <c r="CQ11" i="16"/>
  <c r="CS11" i="16"/>
  <c r="CU11" i="16"/>
  <c r="CW11" i="16"/>
  <c r="CZ11" i="16"/>
  <c r="DB11" i="16"/>
  <c r="DD11" i="16"/>
  <c r="DF11" i="16"/>
  <c r="DI11" i="16"/>
  <c r="DK11" i="16"/>
  <c r="DN11" i="16"/>
  <c r="DO11" i="16"/>
  <c r="DZ11" i="16"/>
  <c r="EB11" i="16"/>
  <c r="EC11" i="16"/>
  <c r="EE11" i="16"/>
  <c r="EH11" i="16"/>
  <c r="EI11" i="16"/>
  <c r="A7" i="6"/>
  <c r="A8" i="6"/>
  <c r="A9" i="6"/>
  <c r="B7" i="6"/>
  <c r="C7" i="6"/>
  <c r="D7" i="6"/>
  <c r="E7" i="6"/>
  <c r="F7" i="6"/>
  <c r="G7" i="6"/>
  <c r="H7" i="6"/>
  <c r="I7" i="6"/>
  <c r="K7" i="6"/>
  <c r="L7" i="6"/>
  <c r="M7" i="6" s="1"/>
  <c r="N7" i="6"/>
  <c r="O7" i="6"/>
  <c r="P7" i="6"/>
  <c r="S7" i="6"/>
  <c r="U7" i="6"/>
  <c r="W7" i="6"/>
  <c r="Y7" i="6"/>
  <c r="AC7" i="6"/>
  <c r="AD7" i="6"/>
  <c r="AE7" i="6" s="1"/>
  <c r="AG7" i="6"/>
  <c r="CA7" i="6" s="1"/>
  <c r="AI7" i="6"/>
  <c r="AK7" i="6"/>
  <c r="AN7" i="6"/>
  <c r="AP7" i="6"/>
  <c r="AR7" i="6"/>
  <c r="AU7" i="6"/>
  <c r="AW7" i="6"/>
  <c r="AZ7" i="6"/>
  <c r="BB7" i="6"/>
  <c r="BC7" i="6"/>
  <c r="BG7" i="6" s="1"/>
  <c r="BE7" i="6"/>
  <c r="BH7" i="6"/>
  <c r="BJ7" i="6"/>
  <c r="BM7" i="6"/>
  <c r="BO7" i="6"/>
  <c r="BP7" i="6"/>
  <c r="BQ7" i="6"/>
  <c r="BS7" i="6" s="1"/>
  <c r="BU7" i="6"/>
  <c r="BW7" i="6"/>
  <c r="BY7" i="6"/>
  <c r="CC7" i="6"/>
  <c r="CE7" i="6"/>
  <c r="CG7" i="6"/>
  <c r="CI7" i="6"/>
  <c r="CL7" i="6"/>
  <c r="CM7" i="6"/>
  <c r="CP7" i="6"/>
  <c r="CX7" i="6"/>
  <c r="DA7" i="6"/>
  <c r="DB7" i="6"/>
  <c r="DD7" i="6"/>
  <c r="DE7" i="6"/>
  <c r="A10" i="6"/>
  <c r="A11" i="6"/>
  <c r="B10" i="6"/>
  <c r="C10" i="6"/>
  <c r="D10" i="6"/>
  <c r="E10" i="6"/>
  <c r="F10" i="6"/>
  <c r="G10" i="6"/>
  <c r="H10" i="6"/>
  <c r="I10" i="6"/>
  <c r="K10" i="6"/>
  <c r="BI10" i="6" s="1"/>
  <c r="L10" i="6"/>
  <c r="M10" i="6" s="1"/>
  <c r="N10" i="6"/>
  <c r="O10" i="6"/>
  <c r="P10" i="6"/>
  <c r="S10" i="6"/>
  <c r="U10" i="6"/>
  <c r="W10" i="6"/>
  <c r="Y10" i="6"/>
  <c r="AC10" i="6"/>
  <c r="AD10" i="6"/>
  <c r="AF10" i="6" s="1"/>
  <c r="AG10" i="6"/>
  <c r="AI10" i="6"/>
  <c r="AK10" i="6"/>
  <c r="AN10" i="6"/>
  <c r="AP10" i="6"/>
  <c r="AR10" i="6"/>
  <c r="AS10" i="6" s="1"/>
  <c r="AU10" i="6"/>
  <c r="AW10" i="6"/>
  <c r="AZ10" i="6"/>
  <c r="BB10" i="6"/>
  <c r="BC10" i="6"/>
  <c r="BE10" i="6"/>
  <c r="BH10" i="6"/>
  <c r="BJ10" i="6"/>
  <c r="BM10" i="6"/>
  <c r="BO10" i="6"/>
  <c r="BP10" i="6"/>
  <c r="BQ10" i="6"/>
  <c r="BS10" i="6" s="1"/>
  <c r="BU10" i="6"/>
  <c r="BW10" i="6"/>
  <c r="BY10" i="6"/>
  <c r="CC10" i="6"/>
  <c r="CE10" i="6"/>
  <c r="CG10" i="6"/>
  <c r="CI10" i="6"/>
  <c r="CL10" i="6"/>
  <c r="CM10" i="6"/>
  <c r="CP10" i="6"/>
  <c r="CX10" i="6"/>
  <c r="DA10" i="6"/>
  <c r="CZ10" i="6" s="1"/>
  <c r="DB10" i="6"/>
  <c r="DD10" i="6"/>
  <c r="DE10" i="6"/>
  <c r="B2" i="6"/>
  <c r="C2" i="6"/>
  <c r="D2" i="6"/>
  <c r="E2" i="6"/>
  <c r="F2" i="6"/>
  <c r="G2" i="6"/>
  <c r="H2" i="6"/>
  <c r="I2" i="6"/>
  <c r="K2" i="6"/>
  <c r="L2" i="6"/>
  <c r="M2" i="6" s="1"/>
  <c r="N2" i="6"/>
  <c r="O2" i="6"/>
  <c r="P2" i="6"/>
  <c r="S2" i="6"/>
  <c r="U2" i="6"/>
  <c r="W2" i="6"/>
  <c r="Y2" i="6"/>
  <c r="AC2" i="6"/>
  <c r="AD2" i="6"/>
  <c r="AG2" i="6"/>
  <c r="CA2" i="6" s="1"/>
  <c r="AI2" i="6"/>
  <c r="AK2" i="6"/>
  <c r="AN2" i="6"/>
  <c r="AP2" i="6"/>
  <c r="AR2" i="6"/>
  <c r="AU2" i="6"/>
  <c r="AW2" i="6"/>
  <c r="AZ2" i="6"/>
  <c r="BB2" i="6"/>
  <c r="BC2" i="6"/>
  <c r="BG2" i="6" s="1"/>
  <c r="BE2" i="6"/>
  <c r="BH2" i="6"/>
  <c r="BJ2" i="6"/>
  <c r="BM2" i="6"/>
  <c r="BO2" i="6"/>
  <c r="BP2" i="6"/>
  <c r="BQ2" i="6"/>
  <c r="BU2" i="6"/>
  <c r="BW2" i="6"/>
  <c r="BY2" i="6"/>
  <c r="CC2" i="6"/>
  <c r="CE2" i="6"/>
  <c r="CG2" i="6"/>
  <c r="CI2" i="6"/>
  <c r="CL2" i="6"/>
  <c r="CM2" i="6"/>
  <c r="CP2" i="6"/>
  <c r="CX2" i="6"/>
  <c r="DA2" i="6"/>
  <c r="DB2" i="6"/>
  <c r="DD2" i="6"/>
  <c r="DE2" i="6"/>
  <c r="B8" i="6"/>
  <c r="C8" i="6"/>
  <c r="D8" i="6"/>
  <c r="E8" i="6"/>
  <c r="F8" i="6"/>
  <c r="G8" i="6"/>
  <c r="H8" i="6"/>
  <c r="I8" i="6"/>
  <c r="K8" i="6"/>
  <c r="L8" i="6"/>
  <c r="M8" i="6" s="1"/>
  <c r="N8" i="6"/>
  <c r="O8" i="6"/>
  <c r="Q8" i="6" s="1"/>
  <c r="P8" i="6"/>
  <c r="S8" i="6"/>
  <c r="U8" i="6"/>
  <c r="W8" i="6"/>
  <c r="Y8" i="6"/>
  <c r="AC8" i="6"/>
  <c r="AD8" i="6"/>
  <c r="AG8" i="6"/>
  <c r="CA8" i="6" s="1"/>
  <c r="AI8" i="6"/>
  <c r="AK8" i="6"/>
  <c r="AN8" i="6"/>
  <c r="AP8" i="6"/>
  <c r="AR8" i="6"/>
  <c r="AU8" i="6"/>
  <c r="AW8" i="6"/>
  <c r="AZ8" i="6"/>
  <c r="BB8" i="6"/>
  <c r="BC8" i="6"/>
  <c r="BG8" i="6" s="1"/>
  <c r="BE8" i="6"/>
  <c r="BH8" i="6"/>
  <c r="BJ8" i="6"/>
  <c r="BM8" i="6"/>
  <c r="BO8" i="6"/>
  <c r="BP8" i="6"/>
  <c r="BQ8" i="6"/>
  <c r="BU8" i="6"/>
  <c r="BW8" i="6"/>
  <c r="BY8" i="6"/>
  <c r="CC8" i="6"/>
  <c r="CE8" i="6"/>
  <c r="CG8" i="6"/>
  <c r="CI8" i="6"/>
  <c r="CL8" i="6"/>
  <c r="CM8" i="6"/>
  <c r="CP8" i="6"/>
  <c r="CX8" i="6"/>
  <c r="DA8" i="6"/>
  <c r="DB8" i="6"/>
  <c r="DD8" i="6"/>
  <c r="DE8" i="6"/>
  <c r="B5" i="6"/>
  <c r="C5" i="6"/>
  <c r="D5" i="6"/>
  <c r="E5" i="6"/>
  <c r="F5" i="6"/>
  <c r="G5" i="6"/>
  <c r="H5" i="6"/>
  <c r="I5" i="6"/>
  <c r="K5" i="6"/>
  <c r="L5" i="6"/>
  <c r="M5" i="6" s="1"/>
  <c r="N5" i="6"/>
  <c r="O5" i="6"/>
  <c r="P5" i="6"/>
  <c r="S5" i="6"/>
  <c r="U5" i="6"/>
  <c r="W5" i="6"/>
  <c r="Y5" i="6"/>
  <c r="AC5" i="6"/>
  <c r="AD5" i="6"/>
  <c r="AG5" i="6"/>
  <c r="CA5" i="6" s="1"/>
  <c r="AI5" i="6"/>
  <c r="AK5" i="6"/>
  <c r="AN5" i="6"/>
  <c r="AP5" i="6"/>
  <c r="AR5" i="6"/>
  <c r="AU5" i="6"/>
  <c r="AW5" i="6"/>
  <c r="AZ5" i="6"/>
  <c r="BB5" i="6"/>
  <c r="BC5" i="6"/>
  <c r="BE5" i="6"/>
  <c r="BH5" i="6"/>
  <c r="BJ5" i="6"/>
  <c r="BM5" i="6"/>
  <c r="BO5" i="6"/>
  <c r="BP5" i="6"/>
  <c r="BQ5" i="6"/>
  <c r="BS5" i="6" s="1"/>
  <c r="BU5" i="6"/>
  <c r="BW5" i="6"/>
  <c r="BY5" i="6"/>
  <c r="CC5" i="6"/>
  <c r="CE5" i="6"/>
  <c r="CG5" i="6"/>
  <c r="CI5" i="6"/>
  <c r="CL5" i="6"/>
  <c r="CM5" i="6"/>
  <c r="CP5" i="6"/>
  <c r="CX5" i="6"/>
  <c r="DA5" i="6"/>
  <c r="DB5" i="6"/>
  <c r="DD5" i="6"/>
  <c r="DE5" i="6"/>
  <c r="B4" i="6"/>
  <c r="C4" i="6"/>
  <c r="D4" i="6"/>
  <c r="E4" i="6"/>
  <c r="F4" i="6"/>
  <c r="G4" i="6"/>
  <c r="H4" i="6"/>
  <c r="I4" i="6"/>
  <c r="K4" i="6"/>
  <c r="L4" i="6"/>
  <c r="M4" i="6" s="1"/>
  <c r="N4" i="6"/>
  <c r="O4" i="6"/>
  <c r="P4" i="6"/>
  <c r="S4" i="6"/>
  <c r="U4" i="6"/>
  <c r="W4" i="6"/>
  <c r="Y4" i="6"/>
  <c r="AC4" i="6"/>
  <c r="AD4" i="6"/>
  <c r="AG4" i="6"/>
  <c r="CA4" i="6" s="1"/>
  <c r="AI4" i="6"/>
  <c r="AK4" i="6"/>
  <c r="AN4" i="6"/>
  <c r="AP4" i="6"/>
  <c r="AR4" i="6"/>
  <c r="AU4" i="6"/>
  <c r="AW4" i="6"/>
  <c r="AZ4" i="6"/>
  <c r="BB4" i="6"/>
  <c r="BC4" i="6"/>
  <c r="BG4" i="6" s="1"/>
  <c r="BE4" i="6"/>
  <c r="BH4" i="6"/>
  <c r="BJ4" i="6"/>
  <c r="BM4" i="6"/>
  <c r="BO4" i="6"/>
  <c r="BP4" i="6"/>
  <c r="BQ4" i="6"/>
  <c r="BR4" i="6" s="1"/>
  <c r="BU4" i="6"/>
  <c r="BW4" i="6"/>
  <c r="BY4" i="6"/>
  <c r="CC4" i="6"/>
  <c r="CE4" i="6"/>
  <c r="CG4" i="6"/>
  <c r="CI4" i="6"/>
  <c r="CL4" i="6"/>
  <c r="CM4" i="6"/>
  <c r="CP4" i="6"/>
  <c r="CX4" i="6"/>
  <c r="DA4" i="6"/>
  <c r="DB4" i="6"/>
  <c r="DD4" i="6"/>
  <c r="DE4" i="6"/>
  <c r="B9" i="6"/>
  <c r="C9" i="6"/>
  <c r="D9" i="6"/>
  <c r="E9" i="6"/>
  <c r="F9" i="6"/>
  <c r="G9" i="6"/>
  <c r="H9" i="6"/>
  <c r="I9" i="6"/>
  <c r="K9" i="6"/>
  <c r="BK9" i="6" s="1"/>
  <c r="L9" i="6"/>
  <c r="M9" i="6" s="1"/>
  <c r="N9" i="6"/>
  <c r="O9" i="6"/>
  <c r="P9" i="6"/>
  <c r="S9" i="6"/>
  <c r="U9" i="6"/>
  <c r="W9" i="6"/>
  <c r="Y9" i="6"/>
  <c r="AC9" i="6"/>
  <c r="AD9" i="6"/>
  <c r="AG9" i="6"/>
  <c r="AI9" i="6"/>
  <c r="AK9" i="6"/>
  <c r="AN9" i="6"/>
  <c r="AP9" i="6"/>
  <c r="AR9" i="6"/>
  <c r="AU9" i="6"/>
  <c r="AW9" i="6"/>
  <c r="AZ9" i="6"/>
  <c r="BB9" i="6"/>
  <c r="BC9" i="6"/>
  <c r="BE9" i="6"/>
  <c r="BH9" i="6"/>
  <c r="BJ9" i="6"/>
  <c r="BM9" i="6"/>
  <c r="BO9" i="6"/>
  <c r="BP9" i="6"/>
  <c r="BQ9" i="6"/>
  <c r="BR9" i="6" s="1"/>
  <c r="BU9" i="6"/>
  <c r="BW9" i="6"/>
  <c r="BY9" i="6"/>
  <c r="CC9" i="6"/>
  <c r="CE9" i="6"/>
  <c r="CG9" i="6"/>
  <c r="CI9" i="6"/>
  <c r="CL9" i="6"/>
  <c r="CM9" i="6"/>
  <c r="CP9" i="6"/>
  <c r="CX9" i="6"/>
  <c r="DA9" i="6"/>
  <c r="DB9" i="6"/>
  <c r="DD9" i="6"/>
  <c r="DE9" i="6"/>
  <c r="B3" i="6"/>
  <c r="C3" i="6"/>
  <c r="D3" i="6"/>
  <c r="E3" i="6"/>
  <c r="F3" i="6"/>
  <c r="G3" i="6"/>
  <c r="H3" i="6"/>
  <c r="I3" i="6"/>
  <c r="K3" i="6"/>
  <c r="L3" i="6"/>
  <c r="M3" i="6" s="1"/>
  <c r="N3" i="6"/>
  <c r="O3" i="6"/>
  <c r="P3" i="6"/>
  <c r="S3" i="6"/>
  <c r="U3" i="6"/>
  <c r="W3" i="6"/>
  <c r="Y3" i="6"/>
  <c r="AC3" i="6"/>
  <c r="AD3" i="6"/>
  <c r="AG3" i="6"/>
  <c r="AI3" i="6"/>
  <c r="AK3" i="6"/>
  <c r="AN3" i="6"/>
  <c r="AP3" i="6"/>
  <c r="AR3" i="6"/>
  <c r="AU3" i="6"/>
  <c r="AW3" i="6"/>
  <c r="AZ3" i="6"/>
  <c r="BB3" i="6"/>
  <c r="BC3" i="6"/>
  <c r="BG3" i="6" s="1"/>
  <c r="BE3" i="6"/>
  <c r="BH3" i="6"/>
  <c r="BJ3" i="6"/>
  <c r="BM3" i="6"/>
  <c r="BO3" i="6"/>
  <c r="BP3" i="6"/>
  <c r="BQ3" i="6"/>
  <c r="BS3" i="6" s="1"/>
  <c r="BU3" i="6"/>
  <c r="BW3" i="6"/>
  <c r="BY3" i="6"/>
  <c r="CC3" i="6"/>
  <c r="CE3" i="6"/>
  <c r="CG3" i="6"/>
  <c r="CI3" i="6"/>
  <c r="CL3" i="6"/>
  <c r="CM3" i="6"/>
  <c r="CP3" i="6"/>
  <c r="CX3" i="6"/>
  <c r="DA3" i="6"/>
  <c r="DB3" i="6"/>
  <c r="DD3" i="6"/>
  <c r="DE3" i="6"/>
  <c r="B6" i="6"/>
  <c r="C6" i="6"/>
  <c r="D6" i="6"/>
  <c r="E6" i="6"/>
  <c r="F6" i="6"/>
  <c r="G6" i="6"/>
  <c r="H6" i="6"/>
  <c r="I6" i="6"/>
  <c r="K6" i="6"/>
  <c r="BI6" i="6" s="1"/>
  <c r="L6" i="6"/>
  <c r="M6" i="6" s="1"/>
  <c r="N6" i="6"/>
  <c r="O6" i="6"/>
  <c r="P6" i="6"/>
  <c r="S6" i="6"/>
  <c r="U6" i="6"/>
  <c r="W6" i="6"/>
  <c r="X6" i="6" s="1"/>
  <c r="Y6" i="6"/>
  <c r="AC6" i="6"/>
  <c r="AD6" i="6"/>
  <c r="AG6" i="6"/>
  <c r="CA6" i="6" s="1"/>
  <c r="AI6" i="6"/>
  <c r="AK6" i="6"/>
  <c r="AN6" i="6"/>
  <c r="AP6" i="6"/>
  <c r="AR6" i="6"/>
  <c r="AU6" i="6"/>
  <c r="AV6" i="6" s="1"/>
  <c r="AW6" i="6"/>
  <c r="AZ6" i="6"/>
  <c r="BB6" i="6"/>
  <c r="BC6" i="6"/>
  <c r="BG6" i="6" s="1"/>
  <c r="BE6" i="6"/>
  <c r="BF6" i="6" s="1"/>
  <c r="BH6" i="6"/>
  <c r="BJ6" i="6"/>
  <c r="BM6" i="6"/>
  <c r="BO6" i="6"/>
  <c r="BP6" i="6"/>
  <c r="BQ6" i="6"/>
  <c r="BR6" i="6" s="1"/>
  <c r="BU6" i="6"/>
  <c r="BW6" i="6"/>
  <c r="BY6" i="6"/>
  <c r="CC6" i="6"/>
  <c r="CE6" i="6"/>
  <c r="CG6" i="6"/>
  <c r="CI6" i="6"/>
  <c r="CL6" i="6"/>
  <c r="CM6" i="6"/>
  <c r="CP6" i="6"/>
  <c r="CU6" i="6"/>
  <c r="CX6" i="6"/>
  <c r="DA6" i="6"/>
  <c r="DB6" i="6"/>
  <c r="DD6" i="6"/>
  <c r="DE6" i="6"/>
  <c r="B11" i="6"/>
  <c r="C11" i="6"/>
  <c r="D11" i="6"/>
  <c r="E11" i="6"/>
  <c r="F11" i="6"/>
  <c r="G11" i="6"/>
  <c r="H11" i="6"/>
  <c r="I11" i="6"/>
  <c r="K11" i="6"/>
  <c r="BK11" i="6" s="1"/>
  <c r="L11" i="6"/>
  <c r="M11" i="6" s="1"/>
  <c r="N11" i="6"/>
  <c r="O11" i="6"/>
  <c r="P11" i="6"/>
  <c r="S11" i="6"/>
  <c r="U11" i="6"/>
  <c r="W11" i="6"/>
  <c r="Y11" i="6"/>
  <c r="AC11" i="6"/>
  <c r="AD11" i="6"/>
  <c r="AG11" i="6"/>
  <c r="CA11" i="6" s="1"/>
  <c r="AI11" i="6"/>
  <c r="AM11" i="6" s="1"/>
  <c r="AK11" i="6"/>
  <c r="AN11" i="6"/>
  <c r="AP11" i="6"/>
  <c r="AR11" i="6"/>
  <c r="AS11" i="6" s="1"/>
  <c r="AU11" i="6"/>
  <c r="AW11" i="6"/>
  <c r="AZ11" i="6"/>
  <c r="BB11" i="6"/>
  <c r="BC11" i="6"/>
  <c r="BG11" i="6" s="1"/>
  <c r="BE11" i="6"/>
  <c r="BH11" i="6"/>
  <c r="BJ11" i="6"/>
  <c r="BM11" i="6"/>
  <c r="BO11" i="6"/>
  <c r="BP11" i="6"/>
  <c r="BQ11" i="6"/>
  <c r="BR11" i="6" s="1"/>
  <c r="BU11" i="6"/>
  <c r="BW11" i="6"/>
  <c r="BY11" i="6"/>
  <c r="CC11" i="6"/>
  <c r="CD11" i="6" s="1"/>
  <c r="CE11" i="6"/>
  <c r="CG11" i="6"/>
  <c r="CI11" i="6"/>
  <c r="CL11" i="6"/>
  <c r="CM11" i="6"/>
  <c r="CP11" i="6"/>
  <c r="CX11" i="6"/>
  <c r="DA11" i="6"/>
  <c r="DB11" i="6"/>
  <c r="DD11" i="6"/>
  <c r="DE11" i="6"/>
  <c r="DA8" i="11" l="1"/>
  <c r="DA6" i="11"/>
  <c r="DA5" i="11"/>
  <c r="DA9" i="11"/>
  <c r="DA11" i="11"/>
  <c r="DA7" i="11"/>
  <c r="DA3" i="11"/>
  <c r="DA4" i="11"/>
  <c r="DA2" i="11"/>
  <c r="DA10" i="11"/>
  <c r="CZ9" i="11"/>
  <c r="CZ8" i="11"/>
  <c r="CZ6" i="11"/>
  <c r="CZ5" i="11"/>
  <c r="CZ4" i="11"/>
  <c r="V7" i="17"/>
  <c r="CA7" i="11"/>
  <c r="BW2" i="11"/>
  <c r="CB7" i="17"/>
  <c r="CJ7" i="17"/>
  <c r="AF7" i="17"/>
  <c r="BD7" i="17"/>
  <c r="BE7" i="17" s="1"/>
  <c r="CE7" i="17"/>
  <c r="AU7" i="17"/>
  <c r="AN7" i="17"/>
  <c r="BW7" i="17"/>
  <c r="BT7" i="17"/>
  <c r="CA7" i="17"/>
  <c r="BY7" i="17"/>
  <c r="BC7" i="17"/>
  <c r="S7" i="17"/>
  <c r="T7" i="17" s="1"/>
  <c r="AT7" i="17"/>
  <c r="AR7" i="17"/>
  <c r="BQ7" i="17"/>
  <c r="BO7" i="17"/>
  <c r="AI7" i="17"/>
  <c r="BK7" i="17"/>
  <c r="BI7" i="17"/>
  <c r="AD7" i="17"/>
  <c r="BG7" i="17"/>
  <c r="Y7" i="17"/>
  <c r="AB7" i="17"/>
  <c r="AA7" i="17"/>
  <c r="AP7" i="17"/>
  <c r="AM7" i="17"/>
  <c r="BR7" i="17"/>
  <c r="U7" i="17"/>
  <c r="AJ7" i="17"/>
  <c r="AX7" i="17"/>
  <c r="R7" i="17"/>
  <c r="AL7" i="17" s="1"/>
  <c r="AG7" i="17"/>
  <c r="AV7" i="17"/>
  <c r="O7" i="17"/>
  <c r="CA5" i="11"/>
  <c r="AG7" i="11"/>
  <c r="DC11" i="11"/>
  <c r="CJ11" i="11"/>
  <c r="AM6" i="11"/>
  <c r="CA2" i="11"/>
  <c r="AW11" i="11"/>
  <c r="BW10" i="11"/>
  <c r="BP9" i="11"/>
  <c r="CD11" i="11"/>
  <c r="DG3" i="10"/>
  <c r="DG6" i="10"/>
  <c r="CI6" i="10"/>
  <c r="ED5" i="10"/>
  <c r="DW8" i="10"/>
  <c r="DX8" i="10" s="1"/>
  <c r="AZ8" i="10"/>
  <c r="Z8" i="10"/>
  <c r="CS2" i="10"/>
  <c r="ED6" i="10"/>
  <c r="DG5" i="10"/>
  <c r="CY8" i="10"/>
  <c r="DV2" i="10"/>
  <c r="CJ10" i="10"/>
  <c r="CM2" i="10"/>
  <c r="DD6" i="10"/>
  <c r="BW6" i="10"/>
  <c r="Z5" i="10"/>
  <c r="DB6" i="10"/>
  <c r="BC6" i="10"/>
  <c r="DY5" i="10"/>
  <c r="BQ5" i="10"/>
  <c r="W5" i="10"/>
  <c r="DM8" i="10"/>
  <c r="CI8" i="10"/>
  <c r="EC10" i="10"/>
  <c r="DB10" i="10"/>
  <c r="DS6" i="10"/>
  <c r="DW5" i="10"/>
  <c r="DX5" i="10" s="1"/>
  <c r="CX5" i="10"/>
  <c r="S5" i="10"/>
  <c r="DK8" i="10"/>
  <c r="AS8" i="10"/>
  <c r="EA10" i="10"/>
  <c r="DA10" i="10"/>
  <c r="DP6" i="10"/>
  <c r="DQ6" i="10" s="1"/>
  <c r="CY6" i="10"/>
  <c r="Z6" i="10"/>
  <c r="AF6" i="10" s="1"/>
  <c r="DT5" i="10"/>
  <c r="BO5" i="10"/>
  <c r="AT5" i="10"/>
  <c r="BK8" i="10"/>
  <c r="BI2" i="10"/>
  <c r="BF10" i="10"/>
  <c r="BG10" i="10" s="1"/>
  <c r="AK10" i="10"/>
  <c r="CD3" i="10"/>
  <c r="CX6" i="10"/>
  <c r="W6" i="10"/>
  <c r="DS5" i="10"/>
  <c r="CV5" i="10"/>
  <c r="EJ2" i="10"/>
  <c r="DF2" i="10"/>
  <c r="AK2" i="10"/>
  <c r="BW2" i="10" s="1"/>
  <c r="DW10" i="10"/>
  <c r="DX10" i="10" s="1"/>
  <c r="CY10" i="10"/>
  <c r="BY10" i="10"/>
  <c r="CA2" i="10"/>
  <c r="BX10" i="10"/>
  <c r="AM10" i="10"/>
  <c r="AO10" i="10" s="1"/>
  <c r="R6" i="10"/>
  <c r="DB2" i="10"/>
  <c r="BZ2" i="10"/>
  <c r="AL10" i="10"/>
  <c r="DK6" i="10"/>
  <c r="CR6" i="10"/>
  <c r="BO6" i="10"/>
  <c r="AS6" i="10"/>
  <c r="CI5" i="10"/>
  <c r="EC8" i="10"/>
  <c r="EF8" i="10"/>
  <c r="BX8" i="10"/>
  <c r="BZ8" i="10" s="1"/>
  <c r="BF8" i="10"/>
  <c r="BG8" i="10" s="1"/>
  <c r="AK8" i="10"/>
  <c r="DP10" i="10"/>
  <c r="DQ10" i="10" s="1"/>
  <c r="CR10" i="10"/>
  <c r="AG10" i="10"/>
  <c r="AI10" i="10"/>
  <c r="AQ6" i="10"/>
  <c r="EJ5" i="10"/>
  <c r="DK5" i="10"/>
  <c r="BI5" i="10"/>
  <c r="EA8" i="10"/>
  <c r="AC8" i="10"/>
  <c r="AE8" i="10" s="1"/>
  <c r="S2" i="10"/>
  <c r="AH10" i="10"/>
  <c r="CM6" i="10"/>
  <c r="BD8" i="10"/>
  <c r="AM8" i="10"/>
  <c r="AO8" i="10" s="1"/>
  <c r="DW2" i="10"/>
  <c r="DX2" i="10" s="1"/>
  <c r="DN10" i="10"/>
  <c r="CP10" i="10"/>
  <c r="AF5" i="10"/>
  <c r="CE5" i="10"/>
  <c r="CF5" i="10"/>
  <c r="AZ5" i="10"/>
  <c r="AJ5" i="10"/>
  <c r="T5" i="10"/>
  <c r="CT8" i="10"/>
  <c r="AH8" i="10"/>
  <c r="R8" i="10"/>
  <c r="AF2" i="10"/>
  <c r="CG6" i="10"/>
  <c r="DG2" i="10"/>
  <c r="CF6" i="10"/>
  <c r="AZ6" i="10"/>
  <c r="AJ6" i="10"/>
  <c r="T6" i="10"/>
  <c r="CT5" i="10"/>
  <c r="CD5" i="10"/>
  <c r="AH5" i="10"/>
  <c r="R5" i="10"/>
  <c r="CP2" i="10"/>
  <c r="DD10" i="10"/>
  <c r="AY6" i="10"/>
  <c r="S6" i="10"/>
  <c r="AG5" i="10"/>
  <c r="DG8" i="10"/>
  <c r="AC2" i="10"/>
  <c r="AE2" i="10" s="1"/>
  <c r="CM10" i="10"/>
  <c r="BW10" i="10"/>
  <c r="AH6" i="10"/>
  <c r="CP8" i="10"/>
  <c r="DD2" i="10"/>
  <c r="AG6" i="10"/>
  <c r="CP5" i="10"/>
  <c r="CA6" i="10"/>
  <c r="AE6" i="10"/>
  <c r="AQ8" i="10"/>
  <c r="DA2" i="10"/>
  <c r="CK2" i="10"/>
  <c r="BC10" i="10"/>
  <c r="W10" i="10"/>
  <c r="DV6" i="10"/>
  <c r="CP6" i="10"/>
  <c r="AT6" i="10"/>
  <c r="BX5" i="10"/>
  <c r="BZ5" i="10" s="1"/>
  <c r="DB8" i="10"/>
  <c r="ED10" i="10"/>
  <c r="AG2" i="10"/>
  <c r="BY6" i="10"/>
  <c r="BZ6" i="10" s="1"/>
  <c r="BI6" i="10"/>
  <c r="DA8" i="10"/>
  <c r="CI2" i="10"/>
  <c r="BC2" i="10"/>
  <c r="W2" i="10"/>
  <c r="CN6" i="10"/>
  <c r="CO6" i="10" s="1"/>
  <c r="EH5" i="10"/>
  <c r="BF5" i="10"/>
  <c r="BG5" i="10" s="1"/>
  <c r="DP8" i="10"/>
  <c r="DQ8" i="10" s="1"/>
  <c r="CJ8" i="10"/>
  <c r="ED2" i="10"/>
  <c r="DN2" i="10"/>
  <c r="CX2" i="10"/>
  <c r="AZ10" i="10"/>
  <c r="AJ10" i="10"/>
  <c r="T10" i="10"/>
  <c r="AY10" i="10"/>
  <c r="S10" i="10"/>
  <c r="DP5" i="10"/>
  <c r="CJ5" i="10"/>
  <c r="ED8" i="10"/>
  <c r="CV2" i="10"/>
  <c r="AZ2" i="10"/>
  <c r="T2" i="10"/>
  <c r="CT10" i="10"/>
  <c r="R10" i="10"/>
  <c r="AM2" i="11"/>
  <c r="BN11" i="11"/>
  <c r="CN11" i="11" s="1"/>
  <c r="BH11" i="11"/>
  <c r="BP7" i="11"/>
  <c r="CV11" i="11"/>
  <c r="BV11" i="11"/>
  <c r="BW11" i="11"/>
  <c r="AR6" i="11"/>
  <c r="AO2" i="11"/>
  <c r="X6" i="11"/>
  <c r="R10" i="11"/>
  <c r="AL11" i="11"/>
  <c r="BH7" i="11"/>
  <c r="AQ7" i="11"/>
  <c r="Z11" i="11"/>
  <c r="AQ3" i="11"/>
  <c r="BP4" i="11"/>
  <c r="CX11" i="11"/>
  <c r="BY11" i="11"/>
  <c r="BR2" i="11"/>
  <c r="BE11" i="11"/>
  <c r="CH2" i="11"/>
  <c r="AW2" i="11"/>
  <c r="AQ10" i="11"/>
  <c r="BN10" i="11"/>
  <c r="CL10" i="11" s="1"/>
  <c r="CM10" i="11" s="1"/>
  <c r="BN6" i="11"/>
  <c r="CL6" i="11" s="1"/>
  <c r="CM6" i="11" s="1"/>
  <c r="BP10" i="11"/>
  <c r="AM9" i="11"/>
  <c r="CH11" i="11"/>
  <c r="W3" i="11"/>
  <c r="BJ3" i="11"/>
  <c r="BM3" i="11"/>
  <c r="BM4" i="11"/>
  <c r="BM9" i="11"/>
  <c r="AL3" i="11"/>
  <c r="R6" i="11"/>
  <c r="X5" i="11"/>
  <c r="BJ4" i="11"/>
  <c r="Z3" i="11"/>
  <c r="AJ4" i="11"/>
  <c r="BH3" i="11"/>
  <c r="BF5" i="11"/>
  <c r="BY4" i="11"/>
  <c r="R11" i="11"/>
  <c r="BV3" i="11"/>
  <c r="BM6" i="11"/>
  <c r="BN7" i="11"/>
  <c r="CL7" i="11" s="1"/>
  <c r="CM7" i="11" s="1"/>
  <c r="AO7" i="11"/>
  <c r="BW9" i="11"/>
  <c r="BW3" i="11"/>
  <c r="X3" i="11"/>
  <c r="W2" i="11"/>
  <c r="BH6" i="11"/>
  <c r="AQ4" i="11"/>
  <c r="AO11" i="11"/>
  <c r="BC3" i="11"/>
  <c r="BP11" i="11"/>
  <c r="AM11" i="11"/>
  <c r="CJ3" i="11"/>
  <c r="R2" i="11"/>
  <c r="BN4" i="11"/>
  <c r="CL4" i="11" s="1"/>
  <c r="CM4" i="11" s="1"/>
  <c r="AW4" i="11"/>
  <c r="CX7" i="11"/>
  <c r="AY4" i="11"/>
  <c r="CA3" i="11"/>
  <c r="CV9" i="11"/>
  <c r="AQ11" i="11"/>
  <c r="BT6" i="11"/>
  <c r="AJ9" i="11"/>
  <c r="BV9" i="11"/>
  <c r="Z9" i="11"/>
  <c r="AJ11" i="11"/>
  <c r="CX4" i="11"/>
  <c r="BP6" i="11"/>
  <c r="AW5" i="11"/>
  <c r="BH4" i="11"/>
  <c r="AO4" i="11"/>
  <c r="W5" i="11"/>
  <c r="BT9" i="11"/>
  <c r="AD9" i="11"/>
  <c r="AH11" i="11"/>
  <c r="CV4" i="11"/>
  <c r="AL4" i="11"/>
  <c r="BF2" i="11"/>
  <c r="CJ9" i="11"/>
  <c r="BR9" i="11"/>
  <c r="BC11" i="11"/>
  <c r="AD11" i="11"/>
  <c r="Z4" i="11"/>
  <c r="BF9" i="11"/>
  <c r="X9" i="11"/>
  <c r="BW6" i="11"/>
  <c r="BT4" i="11"/>
  <c r="DC7" i="11"/>
  <c r="BJ7" i="11"/>
  <c r="CB9" i="11"/>
  <c r="CC9" i="11" s="1"/>
  <c r="BM5" i="11"/>
  <c r="BR4" i="11"/>
  <c r="CA9" i="11"/>
  <c r="CA11" i="11"/>
  <c r="CJ4" i="11"/>
  <c r="CV7" i="11"/>
  <c r="W10" i="11"/>
  <c r="AW9" i="11"/>
  <c r="W11" i="11"/>
  <c r="CH4" i="11"/>
  <c r="X4" i="11"/>
  <c r="BY2" i="11"/>
  <c r="BH5" i="11"/>
  <c r="BW7" i="11"/>
  <c r="BM11" i="11"/>
  <c r="DC3" i="11"/>
  <c r="BP3" i="11"/>
  <c r="BY5" i="11"/>
  <c r="CD4" i="11"/>
  <c r="T4" i="11"/>
  <c r="BP2" i="11"/>
  <c r="W7" i="11"/>
  <c r="AQ9" i="11"/>
  <c r="AJ2" i="11"/>
  <c r="BM10" i="11"/>
  <c r="AO10" i="11"/>
  <c r="AG9" i="11"/>
  <c r="W4" i="11"/>
  <c r="BV2" i="11"/>
  <c r="AL2" i="11"/>
  <c r="AL10" i="11"/>
  <c r="AO3" i="11"/>
  <c r="DC6" i="11"/>
  <c r="BJ5" i="11"/>
  <c r="AM5" i="11"/>
  <c r="BT2" i="11"/>
  <c r="AY7" i="11"/>
  <c r="R7" i="11"/>
  <c r="AH9" i="11"/>
  <c r="BJ11" i="11"/>
  <c r="AM3" i="11"/>
  <c r="AO6" i="11"/>
  <c r="CD2" i="11"/>
  <c r="CX10" i="11"/>
  <c r="AH10" i="11"/>
  <c r="BR3" i="11"/>
  <c r="AJ3" i="11"/>
  <c r="BY6" i="11"/>
  <c r="R4" i="11"/>
  <c r="DC2" i="11"/>
  <c r="BE2" i="11"/>
  <c r="Z2" i="11"/>
  <c r="BV10" i="11"/>
  <c r="AY11" i="11"/>
  <c r="CP11" i="11" s="1"/>
  <c r="CQ11" i="11" s="1"/>
  <c r="X11" i="11"/>
  <c r="AG3" i="11"/>
  <c r="BW5" i="11"/>
  <c r="AR4" i="11"/>
  <c r="CB2" i="11"/>
  <c r="CC2" i="11" s="1"/>
  <c r="AD2" i="11"/>
  <c r="DC10" i="11"/>
  <c r="AG10" i="11"/>
  <c r="BF3" i="11"/>
  <c r="CX2" i="11"/>
  <c r="BC2" i="11"/>
  <c r="BY7" i="11"/>
  <c r="AJ7" i="11"/>
  <c r="Z10" i="11"/>
  <c r="AY9" i="11"/>
  <c r="W9" i="11"/>
  <c r="T11" i="11"/>
  <c r="BE3" i="11"/>
  <c r="AD3" i="11"/>
  <c r="AH6" i="11"/>
  <c r="AM4" i="11"/>
  <c r="CV2" i="11"/>
  <c r="CJ7" i="11"/>
  <c r="AH7" i="11"/>
  <c r="BE10" i="11"/>
  <c r="BV4" i="11"/>
  <c r="BN2" i="11"/>
  <c r="CL2" i="11" s="1"/>
  <c r="CM2" i="11" s="1"/>
  <c r="BV7" i="11"/>
  <c r="T10" i="11"/>
  <c r="R9" i="11"/>
  <c r="BN3" i="11"/>
  <c r="CL3" i="11" s="1"/>
  <c r="CM3" i="11" s="1"/>
  <c r="BC5" i="11"/>
  <c r="BM2" i="11"/>
  <c r="X2" i="11"/>
  <c r="CH7" i="11"/>
  <c r="BT7" i="11"/>
  <c r="Z7" i="11"/>
  <c r="BR7" i="11"/>
  <c r="AD7" i="11"/>
  <c r="W6" i="11"/>
  <c r="AY2" i="11"/>
  <c r="CP2" i="11" s="1"/>
  <c r="CQ2" i="11" s="1"/>
  <c r="T2" i="11"/>
  <c r="CD7" i="11"/>
  <c r="AY10" i="11"/>
  <c r="CX3" i="11"/>
  <c r="AW6" i="11"/>
  <c r="AY5" i="11"/>
  <c r="CA4" i="11"/>
  <c r="BC4" i="11"/>
  <c r="AD4" i="11"/>
  <c r="BH2" i="11"/>
  <c r="BE7" i="11"/>
  <c r="CA10" i="11"/>
  <c r="CY11" i="11"/>
  <c r="BF11" i="11"/>
  <c r="CV3" i="11"/>
  <c r="AY3" i="11"/>
  <c r="T3" i="11"/>
  <c r="CA6" i="11"/>
  <c r="R5" i="11"/>
  <c r="DC4" i="11"/>
  <c r="CJ2" i="11"/>
  <c r="AQ2" i="11"/>
  <c r="CB7" i="11"/>
  <c r="CC7" i="11" s="1"/>
  <c r="BC7" i="11"/>
  <c r="CH10" i="11"/>
  <c r="R3" i="11"/>
  <c r="CY3" i="11"/>
  <c r="BT3" i="11"/>
  <c r="K4" i="11"/>
  <c r="K5" i="11"/>
  <c r="AD10" i="11"/>
  <c r="BR10" i="11"/>
  <c r="AR10" i="11"/>
  <c r="AR3" i="11"/>
  <c r="K9" i="11"/>
  <c r="K10" i="11"/>
  <c r="BF10" i="11"/>
  <c r="X10" i="11"/>
  <c r="AR9" i="11"/>
  <c r="BN9" i="11"/>
  <c r="K7" i="11"/>
  <c r="CJ10" i="11"/>
  <c r="BE4" i="11"/>
  <c r="BF4" i="11"/>
  <c r="CY10" i="11"/>
  <c r="BJ10" i="11"/>
  <c r="BC10" i="11"/>
  <c r="AM10" i="11"/>
  <c r="DC9" i="11"/>
  <c r="BE9" i="11"/>
  <c r="AO9" i="11"/>
  <c r="AG11" i="11"/>
  <c r="Z6" i="11"/>
  <c r="BV6" i="11"/>
  <c r="CB6" i="11"/>
  <c r="CC6" i="11" s="1"/>
  <c r="CD6" i="11"/>
  <c r="AJ6" i="11"/>
  <c r="CV6" i="11"/>
  <c r="T6" i="11"/>
  <c r="AL6" i="11"/>
  <c r="CH6" i="11"/>
  <c r="CX6" i="11"/>
  <c r="BC6" i="11"/>
  <c r="BJ6" i="11"/>
  <c r="AQ6" i="11"/>
  <c r="AQ5" i="11"/>
  <c r="AR5" i="11"/>
  <c r="BH10" i="11"/>
  <c r="BJ9" i="11"/>
  <c r="BC9" i="11"/>
  <c r="K6" i="11"/>
  <c r="CV10" i="11"/>
  <c r="AJ10" i="11"/>
  <c r="CX9" i="11"/>
  <c r="CH9" i="11"/>
  <c r="AL9" i="11"/>
  <c r="T9" i="11"/>
  <c r="CB3" i="11"/>
  <c r="CC3" i="11" s="1"/>
  <c r="CD3" i="11"/>
  <c r="CB5" i="11"/>
  <c r="CC5" i="11" s="1"/>
  <c r="CD5" i="11"/>
  <c r="AJ5" i="11"/>
  <c r="CV5" i="11"/>
  <c r="T5" i="11"/>
  <c r="AL5" i="11"/>
  <c r="CH5" i="11"/>
  <c r="CX5" i="11"/>
  <c r="CJ5" i="11"/>
  <c r="AO5" i="11"/>
  <c r="BE5" i="11"/>
  <c r="DC5" i="11"/>
  <c r="BN5" i="11"/>
  <c r="BY10" i="11"/>
  <c r="BH9" i="11"/>
  <c r="BT11" i="11"/>
  <c r="K11" i="11"/>
  <c r="K3" i="11"/>
  <c r="CJ6" i="11"/>
  <c r="BR6" i="11"/>
  <c r="AD6" i="11"/>
  <c r="CD10" i="11"/>
  <c r="AR11" i="11"/>
  <c r="BV5" i="11"/>
  <c r="Z5" i="11"/>
  <c r="AG5" i="11"/>
  <c r="AH5" i="11"/>
  <c r="AW10" i="11"/>
  <c r="BY9" i="11"/>
  <c r="BR11" i="11"/>
  <c r="BY3" i="11"/>
  <c r="AW3" i="11"/>
  <c r="AH3" i="11"/>
  <c r="BE6" i="11"/>
  <c r="BF6" i="11"/>
  <c r="BT5" i="11"/>
  <c r="AD5" i="11"/>
  <c r="BT10" i="11"/>
  <c r="CH3" i="11"/>
  <c r="AG6" i="11"/>
  <c r="BR5" i="11"/>
  <c r="BP5" i="11"/>
  <c r="CY2" i="11"/>
  <c r="BJ2" i="11"/>
  <c r="AH4" i="11"/>
  <c r="AR7" i="11"/>
  <c r="BW4" i="11"/>
  <c r="AG4" i="11"/>
  <c r="AH2" i="11"/>
  <c r="AG2" i="11"/>
  <c r="BM7" i="11"/>
  <c r="BF7" i="11"/>
  <c r="X7" i="11"/>
  <c r="AY6" i="11"/>
  <c r="CP6" i="11" s="1"/>
  <c r="CQ6" i="11" s="1"/>
  <c r="CY7" i="11"/>
  <c r="AM7" i="11"/>
  <c r="K2" i="11"/>
  <c r="AL7" i="11"/>
  <c r="T7" i="11"/>
  <c r="AR2" i="11"/>
  <c r="BP8" i="11"/>
  <c r="CJ8" i="11"/>
  <c r="AQ8" i="11"/>
  <c r="BN8" i="11"/>
  <c r="CL8" i="11" s="1"/>
  <c r="CM8" i="11" s="1"/>
  <c r="AM8" i="11"/>
  <c r="X8" i="11"/>
  <c r="AO8" i="11"/>
  <c r="DC8" i="11"/>
  <c r="BH8" i="11"/>
  <c r="Z8" i="11"/>
  <c r="BY8" i="11"/>
  <c r="BV8" i="11"/>
  <c r="CH8" i="11"/>
  <c r="BE8" i="11"/>
  <c r="W8" i="11"/>
  <c r="CD8" i="11"/>
  <c r="BC8" i="11"/>
  <c r="T8" i="11"/>
  <c r="CA8" i="11"/>
  <c r="AD8" i="11"/>
  <c r="AH8" i="11"/>
  <c r="CX8" i="11"/>
  <c r="AG8" i="11"/>
  <c r="CV8" i="11"/>
  <c r="BM8" i="11"/>
  <c r="AR8" i="11"/>
  <c r="BJ8" i="11"/>
  <c r="AL8" i="11"/>
  <c r="R8" i="11"/>
  <c r="AJ8" i="11"/>
  <c r="BR8" i="11"/>
  <c r="BT8" i="11"/>
  <c r="BW8" i="11"/>
  <c r="AW8" i="11"/>
  <c r="AY8" i="11"/>
  <c r="BF8" i="11"/>
  <c r="AT3" i="10"/>
  <c r="DK9" i="10"/>
  <c r="CY7" i="10"/>
  <c r="CY9" i="10"/>
  <c r="DK3" i="10"/>
  <c r="AH3" i="10"/>
  <c r="BO3" i="10"/>
  <c r="CX3" i="10"/>
  <c r="EH3" i="10"/>
  <c r="EC9" i="10"/>
  <c r="DF3" i="10"/>
  <c r="AM3" i="10"/>
  <c r="AO3" i="10" s="1"/>
  <c r="AT9" i="10"/>
  <c r="AI3" i="10"/>
  <c r="EF3" i="10"/>
  <c r="CV3" i="10"/>
  <c r="BM3" i="10"/>
  <c r="CT3" i="10"/>
  <c r="BQ7" i="10"/>
  <c r="EA3" i="10"/>
  <c r="CR3" i="10"/>
  <c r="DY3" i="10"/>
  <c r="AC7" i="10"/>
  <c r="AE7" i="10" s="1"/>
  <c r="AZ7" i="10"/>
  <c r="DP9" i="10"/>
  <c r="DV9" i="10" s="1"/>
  <c r="AS7" i="10"/>
  <c r="DF7" i="10"/>
  <c r="DD7" i="10"/>
  <c r="DQ3" i="10"/>
  <c r="BD3" i="10"/>
  <c r="T3" i="10"/>
  <c r="AZ3" i="10"/>
  <c r="EH7" i="10"/>
  <c r="EF7" i="10"/>
  <c r="CR7" i="10"/>
  <c r="DD3" i="10"/>
  <c r="BI7" i="10"/>
  <c r="DA7" i="10"/>
  <c r="EA7" i="10"/>
  <c r="AH7" i="10"/>
  <c r="AJ7" i="10"/>
  <c r="DK7" i="10"/>
  <c r="EJ7" i="10"/>
  <c r="BO7" i="10"/>
  <c r="AM7" i="10"/>
  <c r="AO7" i="10" s="1"/>
  <c r="EC7" i="10"/>
  <c r="CX7" i="10"/>
  <c r="AL7" i="10"/>
  <c r="CT9" i="10"/>
  <c r="BM7" i="10"/>
  <c r="AK7" i="10"/>
  <c r="DT9" i="10"/>
  <c r="CS9" i="10"/>
  <c r="DT7" i="10"/>
  <c r="DS3" i="10"/>
  <c r="DV3" i="10"/>
  <c r="DS7" i="10"/>
  <c r="CM7" i="10"/>
  <c r="CT7" i="10"/>
  <c r="CJ9" i="10"/>
  <c r="CK9" i="10" s="1"/>
  <c r="Z9" i="10"/>
  <c r="CE9" i="10" s="1"/>
  <c r="AI7" i="10"/>
  <c r="CF3" i="10"/>
  <c r="CI3" i="10"/>
  <c r="CJ3" i="10"/>
  <c r="CN3" i="10" s="1"/>
  <c r="CO3" i="10" s="1"/>
  <c r="CP3" i="10"/>
  <c r="BX3" i="10"/>
  <c r="BD9" i="10"/>
  <c r="DN7" i="10"/>
  <c r="BC7" i="10"/>
  <c r="DB3" i="10"/>
  <c r="DM3" i="10"/>
  <c r="DM7" i="10"/>
  <c r="S7" i="10"/>
  <c r="BF3" i="10"/>
  <c r="BG3" i="10" s="1"/>
  <c r="BC3" i="10"/>
  <c r="R7" i="10"/>
  <c r="EF9" i="10"/>
  <c r="DG7" i="10"/>
  <c r="CV7" i="10"/>
  <c r="AQ7" i="10"/>
  <c r="BY3" i="10"/>
  <c r="AK3" i="10"/>
  <c r="EJ3" i="10"/>
  <c r="AJ3" i="10"/>
  <c r="EC3" i="10"/>
  <c r="DI3" i="10"/>
  <c r="CM3" i="10"/>
  <c r="AY3" i="10"/>
  <c r="ED3" i="10"/>
  <c r="DI7" i="10"/>
  <c r="BQ3" i="10"/>
  <c r="AL3" i="10"/>
  <c r="Z3" i="10"/>
  <c r="EH9" i="10"/>
  <c r="AY7" i="10"/>
  <c r="DW3" i="10"/>
  <c r="DX3" i="10" s="1"/>
  <c r="AS3" i="10"/>
  <c r="DA3" i="10"/>
  <c r="BK3" i="10"/>
  <c r="S3" i="10"/>
  <c r="ED9" i="10"/>
  <c r="DT3" i="10"/>
  <c r="BI3" i="10"/>
  <c r="AQ3" i="10"/>
  <c r="R3" i="10"/>
  <c r="R9" i="10"/>
  <c r="BM9" i="10"/>
  <c r="CV9" i="10"/>
  <c r="DM9" i="10"/>
  <c r="AH9" i="10"/>
  <c r="DN9" i="10"/>
  <c r="AI9" i="10"/>
  <c r="AY9" i="10"/>
  <c r="CX9" i="10"/>
  <c r="AJ9" i="10"/>
  <c r="S9" i="10"/>
  <c r="AK9" i="10"/>
  <c r="CI9" i="10"/>
  <c r="T9" i="10"/>
  <c r="AL9" i="10"/>
  <c r="DA9" i="10"/>
  <c r="EJ9" i="10"/>
  <c r="AM9" i="10"/>
  <c r="AO9" i="10" s="1"/>
  <c r="BC9" i="10"/>
  <c r="DS9" i="10"/>
  <c r="W9" i="10"/>
  <c r="CM9" i="10"/>
  <c r="DD9" i="10"/>
  <c r="AQ9" i="10"/>
  <c r="BX9" i="10"/>
  <c r="DF9" i="10"/>
  <c r="DY9" i="10"/>
  <c r="BY9" i="10"/>
  <c r="AS9" i="10"/>
  <c r="BI9" i="10"/>
  <c r="DI9" i="10"/>
  <c r="EA9" i="10"/>
  <c r="BQ9" i="10"/>
  <c r="BO9" i="10"/>
  <c r="BK9" i="10"/>
  <c r="CR9" i="10"/>
  <c r="CP9" i="10"/>
  <c r="CJ7" i="10"/>
  <c r="CN7" i="10" s="1"/>
  <c r="CO7" i="10" s="1"/>
  <c r="DP7" i="10"/>
  <c r="DQ7" i="10" s="1"/>
  <c r="BX7" i="10"/>
  <c r="CP7" i="10"/>
  <c r="CF7" i="10"/>
  <c r="CI7" i="10"/>
  <c r="DG9" i="10"/>
  <c r="BF9" i="10"/>
  <c r="BG9" i="10" s="1"/>
  <c r="AE9" i="10"/>
  <c r="BD7" i="10"/>
  <c r="BF7" i="10"/>
  <c r="BG7" i="10" s="1"/>
  <c r="DX9" i="10"/>
  <c r="AZ9" i="10"/>
  <c r="W3" i="10"/>
  <c r="CY3" i="10"/>
  <c r="Z7" i="10"/>
  <c r="AG7" i="10" s="1"/>
  <c r="T7" i="10"/>
  <c r="W7" i="10"/>
  <c r="DY7" i="10"/>
  <c r="CS7" i="10"/>
  <c r="AE3" i="10"/>
  <c r="DW7" i="10"/>
  <c r="DX7" i="10" s="1"/>
  <c r="BK7" i="10"/>
  <c r="AT7" i="10"/>
  <c r="BY7" i="10"/>
  <c r="BY7" i="2"/>
  <c r="AO7" i="2"/>
  <c r="CL2" i="2"/>
  <c r="BO8" i="2"/>
  <c r="CL5" i="2"/>
  <c r="CW4" i="2"/>
  <c r="DG4" i="2"/>
  <c r="CU4" i="2"/>
  <c r="CN4" i="2"/>
  <c r="Y4" i="2"/>
  <c r="BW8" i="2"/>
  <c r="CJ8" i="2"/>
  <c r="W10" i="2"/>
  <c r="BW4" i="2"/>
  <c r="Z2" i="2"/>
  <c r="CW5" i="2"/>
  <c r="DC2" i="2"/>
  <c r="DG6" i="2"/>
  <c r="BA4" i="2"/>
  <c r="CD10" i="2"/>
  <c r="DC10" i="2"/>
  <c r="BR2" i="2"/>
  <c r="BS2" i="2" s="1"/>
  <c r="CY10" i="2"/>
  <c r="CW10" i="2"/>
  <c r="Z10" i="2"/>
  <c r="W6" i="2"/>
  <c r="AL10" i="2"/>
  <c r="BE7" i="2"/>
  <c r="CD5" i="2"/>
  <c r="BW9" i="2"/>
  <c r="DF9" i="2"/>
  <c r="BE2" i="2"/>
  <c r="AT11" i="2"/>
  <c r="DC6" i="2"/>
  <c r="AK7" i="2"/>
  <c r="BU4" i="2"/>
  <c r="CD11" i="2"/>
  <c r="CW9" i="2"/>
  <c r="BZ2" i="2"/>
  <c r="Y10" i="2"/>
  <c r="BU7" i="2"/>
  <c r="Y9" i="2"/>
  <c r="BW2" i="2"/>
  <c r="DC3" i="2"/>
  <c r="Y6" i="2"/>
  <c r="DA7" i="2"/>
  <c r="W9" i="2"/>
  <c r="BU2" i="2"/>
  <c r="CP11" i="2"/>
  <c r="CQ11" i="2" s="1"/>
  <c r="BA9" i="2"/>
  <c r="R9" i="2"/>
  <c r="DA2" i="2"/>
  <c r="AL6" i="2"/>
  <c r="CW7" i="2"/>
  <c r="AX6" i="2"/>
  <c r="AM6" i="2"/>
  <c r="W4" i="2"/>
  <c r="CW2" i="2"/>
  <c r="DC8" i="2"/>
  <c r="BA11" i="2"/>
  <c r="R11" i="2"/>
  <c r="CL7" i="2"/>
  <c r="AO10" i="2"/>
  <c r="R10" i="2"/>
  <c r="CJ7" i="2"/>
  <c r="BK7" i="2"/>
  <c r="AH4" i="2"/>
  <c r="Z9" i="2"/>
  <c r="CH7" i="2"/>
  <c r="BO4" i="2"/>
  <c r="BA3" i="2"/>
  <c r="CO4" i="2"/>
  <c r="DA10" i="2"/>
  <c r="DG7" i="2"/>
  <c r="BD7" i="2"/>
  <c r="Y7" i="2"/>
  <c r="BK4" i="2"/>
  <c r="CQ8" i="2"/>
  <c r="R8" i="2"/>
  <c r="W2" i="2"/>
  <c r="CU11" i="2"/>
  <c r="DF7" i="2"/>
  <c r="W7" i="2"/>
  <c r="BU6" i="2"/>
  <c r="BK10" i="2"/>
  <c r="BW3" i="2"/>
  <c r="DC7" i="2"/>
  <c r="BZ7" i="2"/>
  <c r="AQ2" i="2"/>
  <c r="AR2" i="2" s="1"/>
  <c r="BE10" i="2"/>
  <c r="AT7" i="2"/>
  <c r="CU5" i="2"/>
  <c r="DA3" i="2"/>
  <c r="CY7" i="2"/>
  <c r="BW7" i="2"/>
  <c r="DF4" i="2"/>
  <c r="BZ4" i="2"/>
  <c r="AH9" i="2"/>
  <c r="CN2" i="2"/>
  <c r="BK6" i="2"/>
  <c r="BA10" i="2"/>
  <c r="CU7" i="2"/>
  <c r="CN8" i="2"/>
  <c r="CJ2" i="2"/>
  <c r="BK3" i="2"/>
  <c r="CL6" i="2"/>
  <c r="BK2" i="2"/>
  <c r="CJ6" i="2"/>
  <c r="AT10" i="2"/>
  <c r="BA5" i="2"/>
  <c r="CY4" i="2"/>
  <c r="BR4" i="2"/>
  <c r="BS4" i="2" s="1"/>
  <c r="CF4" i="10"/>
  <c r="DP4" i="10"/>
  <c r="DQ4" i="10" s="1"/>
  <c r="DK4" i="10"/>
  <c r="EF4" i="10"/>
  <c r="AI4" i="10"/>
  <c r="CP4" i="10"/>
  <c r="CK4" i="10"/>
  <c r="CA4" i="10"/>
  <c r="DI4" i="10"/>
  <c r="DF4" i="10"/>
  <c r="AQ4" i="10"/>
  <c r="CX4" i="10"/>
  <c r="EJ4" i="10"/>
  <c r="CV4" i="10"/>
  <c r="BQ4" i="10"/>
  <c r="AJ4" i="10"/>
  <c r="CR4" i="10"/>
  <c r="BO4" i="10"/>
  <c r="EC4" i="10"/>
  <c r="CM4" i="10"/>
  <c r="BK4" i="10"/>
  <c r="EA4" i="10"/>
  <c r="DT4" i="10"/>
  <c r="DS4" i="10"/>
  <c r="S4" i="10"/>
  <c r="BC4" i="10"/>
  <c r="AZ4" i="10"/>
  <c r="R4" i="10"/>
  <c r="DG4" i="10"/>
  <c r="ED4" i="10"/>
  <c r="DW4" i="10"/>
  <c r="DX4" i="10" s="1"/>
  <c r="CT4" i="10"/>
  <c r="DM4" i="10"/>
  <c r="AK4" i="10"/>
  <c r="BW4" i="10" s="1"/>
  <c r="CG4" i="10"/>
  <c r="AY4" i="10"/>
  <c r="AH4" i="10"/>
  <c r="DY4" i="10"/>
  <c r="CS4" i="10"/>
  <c r="BM4" i="10"/>
  <c r="AE4" i="10"/>
  <c r="AT4" i="10"/>
  <c r="BY4" i="10"/>
  <c r="BI4" i="10"/>
  <c r="AS4" i="10"/>
  <c r="AL4" i="10"/>
  <c r="DD4" i="10"/>
  <c r="CN4" i="10"/>
  <c r="CO4" i="10" s="1"/>
  <c r="BX4" i="10"/>
  <c r="Z4" i="10"/>
  <c r="AF4" i="10" s="1"/>
  <c r="EH4" i="10"/>
  <c r="BF4" i="10"/>
  <c r="BG4" i="10" s="1"/>
  <c r="DA4" i="10"/>
  <c r="W4" i="10"/>
  <c r="BD4" i="10"/>
  <c r="CY4" i="10"/>
  <c r="CI4" i="10"/>
  <c r="AM4" i="10"/>
  <c r="AO4" i="10" s="1"/>
  <c r="T4" i="10"/>
  <c r="CR6" i="2"/>
  <c r="CS6" i="2" s="1"/>
  <c r="BO6" i="2"/>
  <c r="BO7" i="2"/>
  <c r="CJ5" i="2"/>
  <c r="CP6" i="2"/>
  <c r="CQ6" i="2" s="1"/>
  <c r="BN6" i="2"/>
  <c r="CO6" i="2"/>
  <c r="BZ5" i="2"/>
  <c r="AL5" i="2"/>
  <c r="BY5" i="2"/>
  <c r="AK5" i="2"/>
  <c r="BA7" i="2"/>
  <c r="BK5" i="2"/>
  <c r="BK11" i="2"/>
  <c r="AM2" i="2"/>
  <c r="AW4" i="2"/>
  <c r="CJ11" i="2"/>
  <c r="AX10" i="2"/>
  <c r="AO9" i="2"/>
  <c r="W8" i="2"/>
  <c r="CY3" i="2"/>
  <c r="DC9" i="2"/>
  <c r="CH6" i="2"/>
  <c r="AQ10" i="2"/>
  <c r="AR10" i="2" s="1"/>
  <c r="CR4" i="2"/>
  <c r="CS4" i="2" s="1"/>
  <c r="DA9" i="2"/>
  <c r="AI9" i="2"/>
  <c r="CD9" i="2" s="1"/>
  <c r="AT8" i="2"/>
  <c r="AL8" i="2"/>
  <c r="DG2" i="2"/>
  <c r="CB2" i="2"/>
  <c r="W11" i="2"/>
  <c r="CO3" i="2"/>
  <c r="DG5" i="2"/>
  <c r="Y5" i="2"/>
  <c r="CP4" i="2"/>
  <c r="CQ4" i="2" s="1"/>
  <c r="CY9" i="2"/>
  <c r="BY8" i="2"/>
  <c r="DF2" i="2"/>
  <c r="DG11" i="2"/>
  <c r="CL3" i="2"/>
  <c r="CJ3" i="2"/>
  <c r="BY9" i="2"/>
  <c r="BW11" i="2"/>
  <c r="AL11" i="2"/>
  <c r="CH3" i="2"/>
  <c r="DC11" i="2"/>
  <c r="AM11" i="2"/>
  <c r="AK11" i="2"/>
  <c r="DA6" i="2"/>
  <c r="BW5" i="2"/>
  <c r="AO5" i="2"/>
  <c r="CL9" i="2"/>
  <c r="CU8" i="2"/>
  <c r="CY2" i="2"/>
  <c r="Y2" i="2"/>
  <c r="BW6" i="2"/>
  <c r="AH8" i="2"/>
  <c r="BO11" i="2"/>
  <c r="AH11" i="2"/>
  <c r="AH10" i="2"/>
  <c r="CN5" i="2"/>
  <c r="CO5" i="2"/>
  <c r="BA6" i="2"/>
  <c r="AK10" i="2"/>
  <c r="AM10" i="2"/>
  <c r="CH10" i="2"/>
  <c r="DG10" i="2"/>
  <c r="AQ6" i="2"/>
  <c r="AR6" i="2" s="1"/>
  <c r="AM7" i="2"/>
  <c r="AL7" i="2"/>
  <c r="R7" i="2"/>
  <c r="BZ10" i="2"/>
  <c r="R6" i="2"/>
  <c r="AQ7" i="2"/>
  <c r="AR7" i="2" s="1"/>
  <c r="BR7" i="2"/>
  <c r="BS7" i="2" s="1"/>
  <c r="AX7" i="2"/>
  <c r="T5" i="2"/>
  <c r="U5" i="2"/>
  <c r="BU10" i="2"/>
  <c r="CU10" i="2"/>
  <c r="AH7" i="2"/>
  <c r="AI7" i="2"/>
  <c r="CD7" i="2" s="1"/>
  <c r="CT10" i="2"/>
  <c r="CT6" i="2"/>
  <c r="BD6" i="2"/>
  <c r="BE6" i="2"/>
  <c r="CN10" i="2"/>
  <c r="BO10" i="2"/>
  <c r="U10" i="2"/>
  <c r="AM5" i="2"/>
  <c r="AW3" i="2"/>
  <c r="AT3" i="2"/>
  <c r="CP3" i="2"/>
  <c r="CQ3" i="2" s="1"/>
  <c r="CR3" i="2"/>
  <c r="CS3" i="2" s="1"/>
  <c r="AT4" i="2"/>
  <c r="U4" i="2"/>
  <c r="AK6" i="2"/>
  <c r="CJ10" i="2"/>
  <c r="DF5" i="2"/>
  <c r="AH5" i="2"/>
  <c r="CY6" i="2"/>
  <c r="R4" i="2"/>
  <c r="CW6" i="2"/>
  <c r="CD6" i="2"/>
  <c r="DF10" i="2"/>
  <c r="DC5" i="2"/>
  <c r="BE5" i="2"/>
  <c r="CJ4" i="2"/>
  <c r="AO4" i="2"/>
  <c r="BY6" i="2"/>
  <c r="DA5" i="2"/>
  <c r="BD5" i="2"/>
  <c r="CH4" i="2"/>
  <c r="AL4" i="2"/>
  <c r="BY10" i="2"/>
  <c r="CT5" i="2"/>
  <c r="BU5" i="2"/>
  <c r="DC4" i="2"/>
  <c r="CB4" i="2"/>
  <c r="BE4" i="2"/>
  <c r="Z6" i="2"/>
  <c r="BW10" i="2"/>
  <c r="DA4" i="2"/>
  <c r="BD4" i="2"/>
  <c r="DA11" i="2"/>
  <c r="AQ3" i="2"/>
  <c r="CO8" i="2"/>
  <c r="CY11" i="2"/>
  <c r="BE11" i="2"/>
  <c r="BD11" i="2"/>
  <c r="CN9" i="2"/>
  <c r="AM9" i="2"/>
  <c r="CL8" i="2"/>
  <c r="BR8" i="2"/>
  <c r="BS8" i="2" s="1"/>
  <c r="AO8" i="2"/>
  <c r="CW11" i="2"/>
  <c r="AK9" i="2"/>
  <c r="U9" i="2"/>
  <c r="R2" i="2"/>
  <c r="BY11" i="2"/>
  <c r="CT11" i="2"/>
  <c r="BD3" i="2"/>
  <c r="BK9" i="2"/>
  <c r="CH8" i="2"/>
  <c r="AH2" i="2"/>
  <c r="CR11" i="2"/>
  <c r="CS11" i="2" s="1"/>
  <c r="BZ3" i="2"/>
  <c r="DG9" i="2"/>
  <c r="DF8" i="2"/>
  <c r="BK8" i="2"/>
  <c r="AW11" i="2"/>
  <c r="Y11" i="2"/>
  <c r="BE9" i="2"/>
  <c r="CN11" i="2"/>
  <c r="BD8" i="2"/>
  <c r="CL11" i="2"/>
  <c r="AO11" i="2"/>
  <c r="CN3" i="2"/>
  <c r="Y3" i="2"/>
  <c r="DA8" i="2"/>
  <c r="BA2" i="2"/>
  <c r="U11" i="2"/>
  <c r="BU3" i="2"/>
  <c r="W3" i="2"/>
  <c r="CY8" i="2"/>
  <c r="DF11" i="2"/>
  <c r="CW8" i="2"/>
  <c r="BA8" i="2"/>
  <c r="AT2" i="2"/>
  <c r="CH11" i="2"/>
  <c r="DG3" i="2"/>
  <c r="K5" i="2"/>
  <c r="K10" i="2"/>
  <c r="K6" i="2"/>
  <c r="K7" i="2"/>
  <c r="CL10" i="2"/>
  <c r="CO10" i="2"/>
  <c r="CN6" i="2"/>
  <c r="AH6" i="2"/>
  <c r="BN10" i="2"/>
  <c r="CR10" i="2"/>
  <c r="CS10" i="2" s="1"/>
  <c r="AW10" i="2"/>
  <c r="AT5" i="2"/>
  <c r="CP5" i="2"/>
  <c r="CQ5" i="2" s="1"/>
  <c r="CR5" i="2"/>
  <c r="CS5" i="2" s="1"/>
  <c r="AW5" i="2"/>
  <c r="BN5" i="2"/>
  <c r="BO5" i="2"/>
  <c r="AT6" i="2"/>
  <c r="BZ6" i="2"/>
  <c r="DF6" i="2"/>
  <c r="CU6" i="2"/>
  <c r="U6" i="2"/>
  <c r="CP10" i="2"/>
  <c r="CQ10" i="2" s="1"/>
  <c r="CN7" i="2"/>
  <c r="CO7" i="2"/>
  <c r="T7" i="2"/>
  <c r="U7" i="2"/>
  <c r="BN7" i="2"/>
  <c r="AW7" i="2"/>
  <c r="CR7" i="2"/>
  <c r="CS7" i="2" s="1"/>
  <c r="CB7" i="2"/>
  <c r="AX5" i="2"/>
  <c r="R5" i="2"/>
  <c r="CP7" i="2"/>
  <c r="CQ7" i="2" s="1"/>
  <c r="CB5" i="2"/>
  <c r="BD10" i="2"/>
  <c r="Z7" i="2"/>
  <c r="AQ5" i="2"/>
  <c r="AR4" i="2"/>
  <c r="AU4" i="2"/>
  <c r="AV4" i="2" s="1"/>
  <c r="Z5" i="2"/>
  <c r="CY5" i="2"/>
  <c r="W5" i="2"/>
  <c r="CL4" i="2"/>
  <c r="Z4" i="2"/>
  <c r="AM4" i="2"/>
  <c r="AK4" i="2"/>
  <c r="AI4" i="2"/>
  <c r="CD4" i="2" s="1"/>
  <c r="AX4" i="2"/>
  <c r="K4" i="2"/>
  <c r="R3" i="2"/>
  <c r="AK3" i="2"/>
  <c r="AM3" i="2"/>
  <c r="BU11" i="2"/>
  <c r="Y8" i="2"/>
  <c r="Z8" i="2"/>
  <c r="CB8" i="2"/>
  <c r="BU8" i="2"/>
  <c r="CP2" i="2"/>
  <c r="CQ2" i="2" s="1"/>
  <c r="AH3" i="2"/>
  <c r="AI3" i="2"/>
  <c r="CD3" i="2" s="1"/>
  <c r="CT9" i="2"/>
  <c r="CR8" i="2"/>
  <c r="CS8" i="2" s="1"/>
  <c r="AW8" i="2"/>
  <c r="BN8" i="2"/>
  <c r="CO2" i="2"/>
  <c r="CO9" i="2"/>
  <c r="BU9" i="2"/>
  <c r="Z11" i="2"/>
  <c r="AQ11" i="2"/>
  <c r="AX11" i="2"/>
  <c r="BR11" i="2"/>
  <c r="BS11" i="2" s="1"/>
  <c r="CR2" i="2"/>
  <c r="CS2" i="2" s="1"/>
  <c r="AW2" i="2"/>
  <c r="BN2" i="2"/>
  <c r="BO2" i="2"/>
  <c r="AX9" i="2"/>
  <c r="BZ9" i="2"/>
  <c r="AL9" i="2"/>
  <c r="CH9" i="2"/>
  <c r="BD9" i="2"/>
  <c r="K8" i="2"/>
  <c r="CJ9" i="2"/>
  <c r="AT9" i="2"/>
  <c r="CP9" i="2"/>
  <c r="CQ9" i="2" s="1"/>
  <c r="CR9" i="2"/>
  <c r="CS9" i="2" s="1"/>
  <c r="AW9" i="2"/>
  <c r="K9" i="2"/>
  <c r="CD8" i="2"/>
  <c r="DG8" i="2"/>
  <c r="CT8" i="2"/>
  <c r="AK8" i="2"/>
  <c r="AM8" i="2"/>
  <c r="BE8" i="2"/>
  <c r="BN9" i="2"/>
  <c r="AQ9" i="2"/>
  <c r="AQ8" i="2"/>
  <c r="K2" i="2"/>
  <c r="K3" i="2"/>
  <c r="Z3" i="2"/>
  <c r="BD2" i="2"/>
  <c r="BE3" i="2"/>
  <c r="U8" i="2"/>
  <c r="CH2" i="2"/>
  <c r="AL2" i="2"/>
  <c r="AK2" i="2"/>
  <c r="U2" i="2"/>
  <c r="BR3" i="2"/>
  <c r="BS3" i="2" s="1"/>
  <c r="AL3" i="2"/>
  <c r="CW3" i="2"/>
  <c r="U3" i="2"/>
  <c r="CU2" i="2"/>
  <c r="AI2" i="2"/>
  <c r="CD2" i="2" s="1"/>
  <c r="BZ11" i="2"/>
  <c r="CO11" i="2"/>
  <c r="CU3" i="2"/>
  <c r="BO3" i="2"/>
  <c r="BN3" i="2"/>
  <c r="K11" i="2"/>
  <c r="CD3" i="16"/>
  <c r="DX5" i="16"/>
  <c r="CX6" i="16"/>
  <c r="CG4" i="16"/>
  <c r="BY5" i="16"/>
  <c r="AI8" i="16"/>
  <c r="CL8" i="16"/>
  <c r="ED3" i="16"/>
  <c r="AM3" i="16"/>
  <c r="AP2" i="16"/>
  <c r="BY8" i="16"/>
  <c r="Z7" i="16"/>
  <c r="AI6" i="16"/>
  <c r="BL7" i="16"/>
  <c r="T7" i="16"/>
  <c r="AE3" i="16"/>
  <c r="BN6" i="16"/>
  <c r="BL3" i="16"/>
  <c r="AQ10" i="16"/>
  <c r="AR10" i="16" s="1"/>
  <c r="EF6" i="16"/>
  <c r="BE6" i="16"/>
  <c r="AZ8" i="16"/>
  <c r="AI10" i="16"/>
  <c r="DC5" i="16"/>
  <c r="DH4" i="16"/>
  <c r="Z3" i="16"/>
  <c r="BI3" i="16"/>
  <c r="CL3" i="16"/>
  <c r="EA3" i="16"/>
  <c r="CI3" i="16"/>
  <c r="AX3" i="16"/>
  <c r="S3" i="16"/>
  <c r="DL7" i="16"/>
  <c r="CB7" i="16"/>
  <c r="AM7" i="16"/>
  <c r="DL4" i="16"/>
  <c r="DP11" i="16"/>
  <c r="DP6" i="16"/>
  <c r="AO6" i="16"/>
  <c r="AK8" i="16"/>
  <c r="DJ6" i="16"/>
  <c r="BP7" i="16"/>
  <c r="DE8" i="16"/>
  <c r="BW8" i="16"/>
  <c r="BN7" i="16"/>
  <c r="BW5" i="16"/>
  <c r="BJ7" i="16"/>
  <c r="CR7" i="16"/>
  <c r="BP4" i="16"/>
  <c r="BP5" i="16"/>
  <c r="BL6" i="16"/>
  <c r="ED7" i="16"/>
  <c r="CO7" i="16"/>
  <c r="EG8" i="16"/>
  <c r="CR8" i="16"/>
  <c r="V8" i="16"/>
  <c r="CT6" i="16"/>
  <c r="CR5" i="16"/>
  <c r="T8" i="16"/>
  <c r="CR6" i="16"/>
  <c r="BG6" i="16"/>
  <c r="CE3" i="16"/>
  <c r="CY7" i="16"/>
  <c r="CI2" i="16"/>
  <c r="DP4" i="16"/>
  <c r="ED6" i="16"/>
  <c r="CO6" i="16"/>
  <c r="BD6" i="16"/>
  <c r="CM7" i="16"/>
  <c r="DG4" i="16"/>
  <c r="DX7" i="16"/>
  <c r="AZ7" i="16"/>
  <c r="AK4" i="16"/>
  <c r="BS2" i="16"/>
  <c r="DG9" i="16"/>
  <c r="AI4" i="16"/>
  <c r="V6" i="16"/>
  <c r="DP10" i="16"/>
  <c r="CX4" i="16"/>
  <c r="CV4" i="16"/>
  <c r="CE10" i="16"/>
  <c r="EG4" i="16"/>
  <c r="AE4" i="16"/>
  <c r="EF4" i="16"/>
  <c r="BL4" i="16"/>
  <c r="Z4" i="16"/>
  <c r="DC7" i="16"/>
  <c r="BJ4" i="16"/>
  <c r="DA8" i="16"/>
  <c r="BU8" i="16"/>
  <c r="BR7" i="16"/>
  <c r="CO4" i="16"/>
  <c r="BI4" i="16"/>
  <c r="T4" i="16"/>
  <c r="CX8" i="16"/>
  <c r="BR8" i="16"/>
  <c r="CE5" i="16"/>
  <c r="AA5" i="16"/>
  <c r="CM11" i="16"/>
  <c r="S2" i="16"/>
  <c r="DM3" i="16"/>
  <c r="CB3" i="16"/>
  <c r="CB2" i="16"/>
  <c r="AM8" i="16"/>
  <c r="CB6" i="16"/>
  <c r="AT6" i="16"/>
  <c r="DU6" i="16" s="1"/>
  <c r="DV6" i="16" s="1"/>
  <c r="BG7" i="16"/>
  <c r="DM5" i="16"/>
  <c r="CX3" i="16"/>
  <c r="BR3" i="16"/>
  <c r="BG4" i="16"/>
  <c r="DC8" i="16"/>
  <c r="BW6" i="16"/>
  <c r="CG7" i="16"/>
  <c r="BU2" i="16"/>
  <c r="CI4" i="16"/>
  <c r="AK6" i="16"/>
  <c r="DC2" i="16"/>
  <c r="BU6" i="16"/>
  <c r="Z9" i="16"/>
  <c r="AA11" i="16"/>
  <c r="AB11" i="16" s="1"/>
  <c r="CY8" i="16"/>
  <c r="BP8" i="16"/>
  <c r="DA6" i="16"/>
  <c r="BR6" i="16"/>
  <c r="CY5" i="16"/>
  <c r="CD9" i="16"/>
  <c r="BJ3" i="16"/>
  <c r="DM4" i="16"/>
  <c r="AI11" i="16"/>
  <c r="CD10" i="16"/>
  <c r="DX2" i="16"/>
  <c r="AK9" i="16"/>
  <c r="DR2" i="16"/>
  <c r="DC9" i="16"/>
  <c r="DQ4" i="16"/>
  <c r="BR9" i="16"/>
  <c r="DJ2" i="16"/>
  <c r="BY2" i="16"/>
  <c r="AO2" i="16"/>
  <c r="CX5" i="16"/>
  <c r="BU5" i="16"/>
  <c r="AK5" i="16"/>
  <c r="DR3" i="16"/>
  <c r="DG2" i="16"/>
  <c r="AM2" i="16"/>
  <c r="ED5" i="16"/>
  <c r="BR5" i="16"/>
  <c r="CT9" i="16"/>
  <c r="BN9" i="16"/>
  <c r="AE9" i="16"/>
  <c r="BN8" i="16"/>
  <c r="BA7" i="16"/>
  <c r="AI5" i="16"/>
  <c r="EF9" i="16"/>
  <c r="T3" i="16"/>
  <c r="ED9" i="16"/>
  <c r="DG3" i="16"/>
  <c r="EF8" i="16"/>
  <c r="DJ7" i="16"/>
  <c r="DA2" i="16"/>
  <c r="EA5" i="16"/>
  <c r="CO9" i="16"/>
  <c r="BI9" i="16"/>
  <c r="V9" i="16"/>
  <c r="DE3" i="16"/>
  <c r="AT3" i="16"/>
  <c r="DS3" i="16" s="1"/>
  <c r="DT3" i="16" s="1"/>
  <c r="DR11" i="16"/>
  <c r="ED8" i="16"/>
  <c r="CO8" i="16"/>
  <c r="AX6" i="16"/>
  <c r="S6" i="16"/>
  <c r="DG7" i="16"/>
  <c r="CD7" i="16"/>
  <c r="CX2" i="16"/>
  <c r="CO5" i="16"/>
  <c r="AE5" i="16"/>
  <c r="CM9" i="16"/>
  <c r="BG9" i="16"/>
  <c r="AA9" i="16"/>
  <c r="AB9" i="16" s="1"/>
  <c r="AO3" i="16"/>
  <c r="AM4" i="16"/>
  <c r="DP5" i="16"/>
  <c r="CL5" i="16"/>
  <c r="DX9" i="16"/>
  <c r="DA3" i="16"/>
  <c r="EG2" i="16"/>
  <c r="CT2" i="16"/>
  <c r="BN2" i="16"/>
  <c r="EF2" i="16"/>
  <c r="CR2" i="16"/>
  <c r="BL2" i="16"/>
  <c r="DL5" i="16"/>
  <c r="CD8" i="16"/>
  <c r="S8" i="16"/>
  <c r="DC6" i="16"/>
  <c r="AM6" i="16"/>
  <c r="ED2" i="16"/>
  <c r="BI2" i="16"/>
  <c r="BD5" i="16"/>
  <c r="EG3" i="16"/>
  <c r="CT3" i="16"/>
  <c r="CO2" i="16"/>
  <c r="DH9" i="16"/>
  <c r="AO9" i="16"/>
  <c r="EF3" i="16"/>
  <c r="CR3" i="16"/>
  <c r="AI3" i="16"/>
  <c r="EA4" i="16"/>
  <c r="BN4" i="16"/>
  <c r="CB8" i="16"/>
  <c r="AA7" i="16"/>
  <c r="AB7" i="16" s="1"/>
  <c r="CJ11" i="16"/>
  <c r="BA10" i="16"/>
  <c r="DP9" i="16"/>
  <c r="DX8" i="16"/>
  <c r="BR2" i="16"/>
  <c r="AK2" i="16"/>
  <c r="AQ11" i="16"/>
  <c r="AS11" i="16" s="1"/>
  <c r="DP8" i="16"/>
  <c r="CM8" i="16"/>
  <c r="BL8" i="16"/>
  <c r="DE7" i="16"/>
  <c r="AX7" i="16"/>
  <c r="DR10" i="16"/>
  <c r="EA2" i="16"/>
  <c r="CJ5" i="16"/>
  <c r="V5" i="16"/>
  <c r="AQ3" i="16"/>
  <c r="DE11" i="16"/>
  <c r="DL8" i="16"/>
  <c r="CI8" i="16"/>
  <c r="AE8" i="16"/>
  <c r="DX6" i="16"/>
  <c r="AT7" i="16"/>
  <c r="DS7" i="16" s="1"/>
  <c r="DT7" i="16" s="1"/>
  <c r="AP10" i="16"/>
  <c r="BA4" i="16"/>
  <c r="S4" i="16"/>
  <c r="DJ8" i="16"/>
  <c r="CG8" i="16"/>
  <c r="BG8" i="16"/>
  <c r="Z8" i="16"/>
  <c r="CI6" i="16"/>
  <c r="T6" i="16"/>
  <c r="EF7" i="16"/>
  <c r="BW7" i="16"/>
  <c r="BZ7" i="16" s="1"/>
  <c r="AQ7" i="16"/>
  <c r="AR7" i="16" s="1"/>
  <c r="CJ2" i="16"/>
  <c r="AZ5" i="16"/>
  <c r="DE4" i="16"/>
  <c r="BD8" i="16"/>
  <c r="W8" i="16"/>
  <c r="BB8" i="16" s="1"/>
  <c r="DL6" i="16"/>
  <c r="DM10" i="16"/>
  <c r="AE2" i="16"/>
  <c r="DG5" i="16"/>
  <c r="DA9" i="16"/>
  <c r="CO3" i="16"/>
  <c r="BN3" i="16"/>
  <c r="ED4" i="16"/>
  <c r="CB4" i="16"/>
  <c r="CE8" i="16"/>
  <c r="Z2" i="16"/>
  <c r="DC4" i="16"/>
  <c r="AT4" i="16"/>
  <c r="DS4" i="16" s="1"/>
  <c r="DT4" i="16" s="1"/>
  <c r="CG2" i="16"/>
  <c r="BG2" i="16"/>
  <c r="CJ3" i="16"/>
  <c r="BW4" i="16"/>
  <c r="BZ4" i="16" s="1"/>
  <c r="AO4" i="16"/>
  <c r="BZ8" i="16"/>
  <c r="BS7" i="16"/>
  <c r="AI7" i="16"/>
  <c r="BS10" i="16"/>
  <c r="AX2" i="16"/>
  <c r="AQ5" i="16"/>
  <c r="AR5" i="16" s="1"/>
  <c r="DR4" i="16"/>
  <c r="DL3" i="16"/>
  <c r="CT4" i="16"/>
  <c r="BR4" i="16"/>
  <c r="CE11" i="16"/>
  <c r="DH11" i="16"/>
  <c r="BN11" i="16"/>
  <c r="CO11" i="16"/>
  <c r="DJ10" i="16"/>
  <c r="DX11" i="16"/>
  <c r="BW10" i="16"/>
  <c r="S10" i="16"/>
  <c r="AX10" i="16"/>
  <c r="BY10" i="16"/>
  <c r="CV10" i="16"/>
  <c r="BG10" i="16"/>
  <c r="AA8" i="16"/>
  <c r="AB8" i="16" s="1"/>
  <c r="DL11" i="16"/>
  <c r="BS8" i="16"/>
  <c r="AK10" i="16"/>
  <c r="DJ11" i="16"/>
  <c r="CJ8" i="16"/>
  <c r="DR6" i="16"/>
  <c r="DQ6" i="16"/>
  <c r="AO11" i="16"/>
  <c r="BJ10" i="16"/>
  <c r="BI10" i="16"/>
  <c r="Z6" i="16"/>
  <c r="BR11" i="16"/>
  <c r="CV8" i="16"/>
  <c r="BI8" i="16"/>
  <c r="CE6" i="16"/>
  <c r="CD6" i="16"/>
  <c r="CO10" i="16"/>
  <c r="CT8" i="16"/>
  <c r="EG6" i="16"/>
  <c r="DM7" i="16"/>
  <c r="DX10" i="16"/>
  <c r="CL10" i="16"/>
  <c r="CM10" i="16"/>
  <c r="T10" i="16"/>
  <c r="CJ10" i="16"/>
  <c r="BA2" i="16"/>
  <c r="X9" i="16"/>
  <c r="BB9" i="16"/>
  <c r="BC9" i="16"/>
  <c r="DM2" i="16"/>
  <c r="DE2" i="16"/>
  <c r="CL7" i="16"/>
  <c r="AE7" i="16"/>
  <c r="DC10" i="16"/>
  <c r="CJ7" i="16"/>
  <c r="V3" i="16"/>
  <c r="W3" i="16"/>
  <c r="X3" i="16" s="1"/>
  <c r="BD3" i="16"/>
  <c r="EG10" i="16"/>
  <c r="CX10" i="16"/>
  <c r="AE10" i="16"/>
  <c r="BA9" i="16"/>
  <c r="AX9" i="16"/>
  <c r="EF10" i="16"/>
  <c r="DM9" i="16"/>
  <c r="DJ9" i="16"/>
  <c r="CE7" i="16"/>
  <c r="W7" i="16"/>
  <c r="BE7" i="16" s="1"/>
  <c r="ED10" i="16"/>
  <c r="CY10" i="16"/>
  <c r="V7" i="16"/>
  <c r="EA7" i="16"/>
  <c r="CX7" i="16"/>
  <c r="EA10" i="16"/>
  <c r="CV7" i="16"/>
  <c r="BR10" i="16"/>
  <c r="BP10" i="16"/>
  <c r="CT7" i="16"/>
  <c r="BI7" i="16"/>
  <c r="AP7" i="16"/>
  <c r="BI6" i="16"/>
  <c r="AK7" i="16"/>
  <c r="S7" i="16"/>
  <c r="V4" i="16"/>
  <c r="W4" i="16"/>
  <c r="BD4" i="16"/>
  <c r="DE6" i="16"/>
  <c r="DL10" i="16"/>
  <c r="CL9" i="16"/>
  <c r="BP9" i="16"/>
  <c r="AT9" i="16"/>
  <c r="DS9" i="16" s="1"/>
  <c r="DT9" i="16" s="1"/>
  <c r="DJ3" i="16"/>
  <c r="CL4" i="16"/>
  <c r="BS4" i="16"/>
  <c r="BA5" i="16"/>
  <c r="T9" i="16"/>
  <c r="DE9" i="16"/>
  <c r="CI9" i="16"/>
  <c r="BS9" i="16"/>
  <c r="AM9" i="16"/>
  <c r="DH3" i="16"/>
  <c r="CJ9" i="16"/>
  <c r="BL9" i="16"/>
  <c r="AQ9" i="16"/>
  <c r="AR9" i="16" s="1"/>
  <c r="S9" i="16"/>
  <c r="EG9" i="16"/>
  <c r="CG9" i="16"/>
  <c r="BJ9" i="16"/>
  <c r="CJ4" i="16"/>
  <c r="AK3" i="16"/>
  <c r="CE4" i="16"/>
  <c r="S5" i="16"/>
  <c r="CX9" i="16"/>
  <c r="CE9" i="16"/>
  <c r="AI9" i="16"/>
  <c r="DA4" i="16"/>
  <c r="CD4" i="16"/>
  <c r="AT2" i="16"/>
  <c r="DS2" i="16" s="1"/>
  <c r="DT2" i="16" s="1"/>
  <c r="EA9" i="16"/>
  <c r="CV9" i="16"/>
  <c r="CB9" i="16"/>
  <c r="DX4" i="16"/>
  <c r="CM5" i="16"/>
  <c r="BS5" i="16"/>
  <c r="BY9" i="16"/>
  <c r="BD9" i="16"/>
  <c r="CY9" i="16"/>
  <c r="CY4" i="16"/>
  <c r="AZ4" i="16"/>
  <c r="DH5" i="16"/>
  <c r="CR9" i="16"/>
  <c r="BW9" i="16"/>
  <c r="CL2" i="16"/>
  <c r="AQ2" i="16"/>
  <c r="AR2" i="16" s="1"/>
  <c r="CI5" i="16"/>
  <c r="DL9" i="16"/>
  <c r="AZ9" i="16"/>
  <c r="DX3" i="16"/>
  <c r="BU3" i="16"/>
  <c r="CR4" i="16"/>
  <c r="AX4" i="16"/>
  <c r="BU9" i="16"/>
  <c r="DP3" i="16"/>
  <c r="BU4" i="16"/>
  <c r="AO8" i="16"/>
  <c r="AP8" i="16"/>
  <c r="BP11" i="16"/>
  <c r="BS11" i="16"/>
  <c r="AM11" i="16"/>
  <c r="AQ8" i="16"/>
  <c r="BJ11" i="16"/>
  <c r="DG11" i="16"/>
  <c r="BL11" i="16"/>
  <c r="CB11" i="16"/>
  <c r="AK11" i="16"/>
  <c r="CG11" i="16"/>
  <c r="DQ11" i="16"/>
  <c r="EG11" i="16"/>
  <c r="EF11" i="16"/>
  <c r="BI11" i="16"/>
  <c r="ED11" i="16"/>
  <c r="CI11" i="16"/>
  <c r="BG11" i="16"/>
  <c r="AZ6" i="16"/>
  <c r="BA6" i="16"/>
  <c r="EA11" i="16"/>
  <c r="DC11" i="16"/>
  <c r="AE11" i="16"/>
  <c r="CD11" i="16"/>
  <c r="AZ11" i="16"/>
  <c r="BA11" i="16"/>
  <c r="DA11" i="16"/>
  <c r="AX11" i="16"/>
  <c r="CX11" i="16"/>
  <c r="BY11" i="16"/>
  <c r="Z11" i="16"/>
  <c r="CV11" i="16"/>
  <c r="CY11" i="16"/>
  <c r="AT11" i="16"/>
  <c r="V11" i="16"/>
  <c r="DQ8" i="16"/>
  <c r="X8" i="16"/>
  <c r="BC8" i="16"/>
  <c r="CT11" i="16"/>
  <c r="BW11" i="16"/>
  <c r="S11" i="16"/>
  <c r="CR11" i="16"/>
  <c r="T11" i="16"/>
  <c r="BU11" i="16"/>
  <c r="DG8" i="16"/>
  <c r="DH8" i="16"/>
  <c r="DM6" i="16"/>
  <c r="CL11" i="16"/>
  <c r="AP11" i="16"/>
  <c r="DM8" i="16"/>
  <c r="BA8" i="16"/>
  <c r="DH6" i="16"/>
  <c r="CM6" i="16"/>
  <c r="AA6" i="16"/>
  <c r="AB6" i="16" s="1"/>
  <c r="CL6" i="16"/>
  <c r="BP6" i="16"/>
  <c r="BS6" i="16"/>
  <c r="W11" i="16"/>
  <c r="CJ6" i="16"/>
  <c r="AQ6" i="16"/>
  <c r="X6" i="16"/>
  <c r="AP6" i="16"/>
  <c r="DM11" i="16"/>
  <c r="DU8" i="16"/>
  <c r="CV6" i="16"/>
  <c r="CY6" i="16"/>
  <c r="DR8" i="16"/>
  <c r="BB6" i="16"/>
  <c r="BY6" i="16"/>
  <c r="BJ6" i="16"/>
  <c r="AE6" i="16"/>
  <c r="DG6" i="16"/>
  <c r="CG6" i="16"/>
  <c r="DP7" i="16"/>
  <c r="DQ7" i="16"/>
  <c r="DR7" i="16"/>
  <c r="V10" i="16"/>
  <c r="W10" i="16"/>
  <c r="BD10" i="16"/>
  <c r="CT10" i="16"/>
  <c r="DH7" i="16"/>
  <c r="AZ10" i="16"/>
  <c r="BL10" i="16"/>
  <c r="CB10" i="16"/>
  <c r="CR10" i="16"/>
  <c r="AM10" i="16"/>
  <c r="CI10" i="16"/>
  <c r="AO10" i="16"/>
  <c r="BU10" i="16"/>
  <c r="DA10" i="16"/>
  <c r="DQ10" i="16"/>
  <c r="BB2" i="16"/>
  <c r="X2" i="16"/>
  <c r="BE2" i="16"/>
  <c r="BC2" i="16"/>
  <c r="CI7" i="16"/>
  <c r="DG10" i="16"/>
  <c r="DH10" i="16"/>
  <c r="DE10" i="16"/>
  <c r="AT10" i="16"/>
  <c r="AA10" i="16"/>
  <c r="AB10" i="16" s="1"/>
  <c r="AO7" i="16"/>
  <c r="BU7" i="16"/>
  <c r="DA7" i="16"/>
  <c r="EG7" i="16"/>
  <c r="BN10" i="16"/>
  <c r="AS10" i="16"/>
  <c r="Z10" i="16"/>
  <c r="CG10" i="16"/>
  <c r="DP2" i="16"/>
  <c r="DQ2" i="16"/>
  <c r="DH2" i="16"/>
  <c r="DS5" i="16"/>
  <c r="DT5" i="16" s="1"/>
  <c r="DU5" i="16"/>
  <c r="V2" i="16"/>
  <c r="BD2" i="16"/>
  <c r="AA2" i="16"/>
  <c r="AB2" i="16" s="1"/>
  <c r="CY2" i="16"/>
  <c r="CD2" i="16"/>
  <c r="CE2" i="16"/>
  <c r="AI2" i="16"/>
  <c r="T2" i="16"/>
  <c r="AZ2" i="16"/>
  <c r="BP2" i="16"/>
  <c r="CV2" i="16"/>
  <c r="DL2" i="16"/>
  <c r="BW2" i="16"/>
  <c r="BP3" i="16"/>
  <c r="BS3" i="16"/>
  <c r="AR3" i="16"/>
  <c r="AS3" i="16"/>
  <c r="DE5" i="16"/>
  <c r="AX5" i="16"/>
  <c r="BN5" i="16"/>
  <c r="CD5" i="16"/>
  <c r="CT5" i="16"/>
  <c r="DJ5" i="16"/>
  <c r="EG5" i="16"/>
  <c r="AB5" i="16"/>
  <c r="CG5" i="16"/>
  <c r="DA5" i="16"/>
  <c r="BL5" i="16"/>
  <c r="Z5" i="16"/>
  <c r="CV3" i="16"/>
  <c r="CY3" i="16"/>
  <c r="X5" i="16"/>
  <c r="AZ3" i="16"/>
  <c r="BA3" i="16"/>
  <c r="CV5" i="16"/>
  <c r="CB5" i="16"/>
  <c r="BI5" i="16"/>
  <c r="AO5" i="16"/>
  <c r="AP5" i="16"/>
  <c r="BC5" i="16"/>
  <c r="BE5" i="16"/>
  <c r="DQ5" i="16"/>
  <c r="DR5" i="16"/>
  <c r="AM5" i="16"/>
  <c r="T5" i="16"/>
  <c r="EF5" i="16"/>
  <c r="BG5" i="16"/>
  <c r="DJ4" i="16"/>
  <c r="DU3" i="16"/>
  <c r="BY3" i="16"/>
  <c r="DR9" i="16"/>
  <c r="AP9" i="16"/>
  <c r="DC3" i="16"/>
  <c r="CM3" i="16"/>
  <c r="BW3" i="16"/>
  <c r="BG3" i="16"/>
  <c r="AA3" i="16"/>
  <c r="AB3" i="16" s="1"/>
  <c r="DQ9" i="16"/>
  <c r="BE9" i="16"/>
  <c r="AP3" i="16"/>
  <c r="AQ4" i="16"/>
  <c r="AA4" i="16"/>
  <c r="AB4" i="16" s="1"/>
  <c r="DQ3" i="16"/>
  <c r="AP4" i="16"/>
  <c r="CG3" i="16"/>
  <c r="AX6" i="6"/>
  <c r="BX8" i="6"/>
  <c r="BX2" i="6"/>
  <c r="AT7" i="6"/>
  <c r="BX10" i="6"/>
  <c r="AQ10" i="6"/>
  <c r="CZ6" i="6"/>
  <c r="CY6" i="6"/>
  <c r="Q6" i="6"/>
  <c r="R6" i="6" s="1"/>
  <c r="BV11" i="6"/>
  <c r="DC11" i="6"/>
  <c r="BL11" i="6"/>
  <c r="CB6" i="6"/>
  <c r="AT3" i="6"/>
  <c r="CN3" i="6"/>
  <c r="CN9" i="6"/>
  <c r="BL4" i="6"/>
  <c r="AH6" i="6"/>
  <c r="BL9" i="6"/>
  <c r="Q10" i="6"/>
  <c r="R10" i="6" s="1"/>
  <c r="BR3" i="6"/>
  <c r="AO10" i="6"/>
  <c r="BV10" i="6"/>
  <c r="BT10" i="6"/>
  <c r="AJ10" i="6"/>
  <c r="BD8" i="6"/>
  <c r="DC10" i="6"/>
  <c r="Q2" i="6"/>
  <c r="CY10" i="6"/>
  <c r="Z10" i="6"/>
  <c r="BX6" i="6"/>
  <c r="BV6" i="6"/>
  <c r="BX4" i="6"/>
  <c r="AO4" i="6"/>
  <c r="AF8" i="6"/>
  <c r="CU9" i="6"/>
  <c r="AF6" i="6"/>
  <c r="AY3" i="6"/>
  <c r="BR10" i="6"/>
  <c r="CO9" i="6"/>
  <c r="AH9" i="6"/>
  <c r="AL8" i="6"/>
  <c r="BX3" i="6"/>
  <c r="BI9" i="6"/>
  <c r="BX7" i="6"/>
  <c r="CY8" i="6"/>
  <c r="CU10" i="6"/>
  <c r="BN10" i="6"/>
  <c r="CZ11" i="6"/>
  <c r="CH9" i="6"/>
  <c r="CJ9" i="6" s="1"/>
  <c r="CK9" i="6" s="1"/>
  <c r="Z9" i="6"/>
  <c r="CQ10" i="6"/>
  <c r="BK10" i="6"/>
  <c r="CY11" i="6"/>
  <c r="CB11" i="6"/>
  <c r="CD6" i="6"/>
  <c r="AY6" i="6"/>
  <c r="CN10" i="6"/>
  <c r="BL10" i="6"/>
  <c r="CF9" i="6"/>
  <c r="BF8" i="6"/>
  <c r="BI11" i="6"/>
  <c r="BF10" i="6"/>
  <c r="Z11" i="6"/>
  <c r="AY9" i="6"/>
  <c r="BN4" i="6"/>
  <c r="AF4" i="6"/>
  <c r="CH8" i="6"/>
  <c r="V10" i="6"/>
  <c r="BX9" i="6"/>
  <c r="AV9" i="6"/>
  <c r="CF10" i="6"/>
  <c r="CH11" i="6"/>
  <c r="CR11" i="6" s="1"/>
  <c r="CV11" i="6" s="1"/>
  <c r="BF11" i="6"/>
  <c r="CF8" i="6"/>
  <c r="CD10" i="6"/>
  <c r="DC6" i="6"/>
  <c r="DC9" i="6"/>
  <c r="BS9" i="6"/>
  <c r="BT9" i="6" s="1"/>
  <c r="CD8" i="6"/>
  <c r="AY8" i="6"/>
  <c r="BA10" i="6"/>
  <c r="AV7" i="6"/>
  <c r="Q7" i="6"/>
  <c r="R7" i="6" s="1"/>
  <c r="AO11" i="6"/>
  <c r="AT4" i="6"/>
  <c r="AE10" i="6"/>
  <c r="BZ7" i="6"/>
  <c r="AX7" i="6"/>
  <c r="AV4" i="6"/>
  <c r="BV7" i="6"/>
  <c r="AO7" i="6"/>
  <c r="CN11" i="6"/>
  <c r="BT7" i="6"/>
  <c r="AL7" i="6"/>
  <c r="AE11" i="6"/>
  <c r="BZ6" i="6"/>
  <c r="AS6" i="6"/>
  <c r="BL3" i="6"/>
  <c r="T10" i="6"/>
  <c r="DC7" i="6"/>
  <c r="AA2" i="6"/>
  <c r="AB2" i="6" s="1"/>
  <c r="CZ7" i="6"/>
  <c r="CO3" i="6"/>
  <c r="BK4" i="6"/>
  <c r="AV10" i="6"/>
  <c r="CY7" i="6"/>
  <c r="BD11" i="6"/>
  <c r="CH2" i="6"/>
  <c r="CR2" i="6" s="1"/>
  <c r="CV2" i="6" s="1"/>
  <c r="BZ11" i="6"/>
  <c r="BA11" i="6"/>
  <c r="AL9" i="6"/>
  <c r="AM10" i="6"/>
  <c r="AX11" i="6"/>
  <c r="CO6" i="6"/>
  <c r="AE6" i="6"/>
  <c r="CQ9" i="6"/>
  <c r="AJ9" i="6"/>
  <c r="AY5" i="6"/>
  <c r="BL8" i="6"/>
  <c r="AL10" i="6"/>
  <c r="AL5" i="6"/>
  <c r="AE8" i="6"/>
  <c r="AA11" i="6"/>
  <c r="AB11" i="6" s="1"/>
  <c r="AF9" i="6"/>
  <c r="BI4" i="6"/>
  <c r="CB4" i="6"/>
  <c r="BT5" i="6"/>
  <c r="AM5" i="6"/>
  <c r="T11" i="6"/>
  <c r="CD4" i="6"/>
  <c r="BF4" i="6"/>
  <c r="DC5" i="6"/>
  <c r="CO8" i="6"/>
  <c r="AE4" i="6"/>
  <c r="CU7" i="6"/>
  <c r="AM7" i="6"/>
  <c r="DC3" i="6"/>
  <c r="Q11" i="6"/>
  <c r="R11" i="6" s="1"/>
  <c r="BZ4" i="6"/>
  <c r="Z4" i="6"/>
  <c r="CY5" i="6"/>
  <c r="CQ7" i="6"/>
  <c r="BI7" i="6"/>
  <c r="CB7" i="6"/>
  <c r="BX5" i="6"/>
  <c r="AH4" i="6"/>
  <c r="CQ11" i="6"/>
  <c r="AQ11" i="6"/>
  <c r="CQ6" i="6"/>
  <c r="AL6" i="6"/>
  <c r="AE3" i="6"/>
  <c r="CD9" i="6"/>
  <c r="BA9" i="6"/>
  <c r="T9" i="6"/>
  <c r="DC4" i="6"/>
  <c r="BA4" i="6"/>
  <c r="AA5" i="6"/>
  <c r="AB5" i="6" s="1"/>
  <c r="BN11" i="6"/>
  <c r="BN6" i="6"/>
  <c r="AA3" i="6"/>
  <c r="AB3" i="6" s="1"/>
  <c r="CZ4" i="6"/>
  <c r="V4" i="6"/>
  <c r="AT8" i="6"/>
  <c r="AF2" i="6"/>
  <c r="CH10" i="6"/>
  <c r="CJ10" i="6" s="1"/>
  <c r="CK10" i="6" s="1"/>
  <c r="BF7" i="6"/>
  <c r="BL6" i="6"/>
  <c r="CY4" i="6"/>
  <c r="BV4" i="6"/>
  <c r="T4" i="6"/>
  <c r="CH7" i="6"/>
  <c r="CJ7" i="6" s="1"/>
  <c r="CK7" i="6" s="1"/>
  <c r="Z7" i="6"/>
  <c r="CO11" i="6"/>
  <c r="Q5" i="6"/>
  <c r="R5" i="6" s="1"/>
  <c r="AA7" i="6"/>
  <c r="AB7" i="6" s="1"/>
  <c r="AQ5" i="6"/>
  <c r="CF3" i="6"/>
  <c r="BA3" i="6"/>
  <c r="CU4" i="6"/>
  <c r="AS4" i="6"/>
  <c r="CF7" i="6"/>
  <c r="BA7" i="6"/>
  <c r="AV3" i="6"/>
  <c r="CH4" i="6"/>
  <c r="AJ11" i="6"/>
  <c r="AT9" i="6"/>
  <c r="CQ4" i="6"/>
  <c r="CF11" i="6"/>
  <c r="BD6" i="6"/>
  <c r="CY9" i="6"/>
  <c r="AQ4" i="6"/>
  <c r="CQ8" i="6"/>
  <c r="AH8" i="6"/>
  <c r="BZ10" i="6"/>
  <c r="CD7" i="6"/>
  <c r="AX9" i="6"/>
  <c r="CR8" i="6"/>
  <c r="CS8" i="6" s="1"/>
  <c r="CJ8" i="6"/>
  <c r="CK8" i="6" s="1"/>
  <c r="AF3" i="6"/>
  <c r="AX2" i="6"/>
  <c r="AY2" i="6"/>
  <c r="AV11" i="6"/>
  <c r="BS6" i="6"/>
  <c r="BT6" i="6" s="1"/>
  <c r="AT6" i="6"/>
  <c r="AQ9" i="6"/>
  <c r="Q9" i="6"/>
  <c r="R9" i="6" s="1"/>
  <c r="BD4" i="6"/>
  <c r="AT11" i="6"/>
  <c r="BS2" i="6"/>
  <c r="BT2" i="6" s="1"/>
  <c r="BR2" i="6"/>
  <c r="BA2" i="6"/>
  <c r="BD2" i="6"/>
  <c r="DC2" i="6"/>
  <c r="AH2" i="6"/>
  <c r="BI2" i="6"/>
  <c r="R2" i="6"/>
  <c r="AQ2" i="6"/>
  <c r="BN2" i="6"/>
  <c r="V2" i="6"/>
  <c r="AO9" i="6"/>
  <c r="V9" i="6"/>
  <c r="BN9" i="6"/>
  <c r="CZ2" i="6"/>
  <c r="AE2" i="6"/>
  <c r="Q3" i="6"/>
  <c r="R3" i="6" s="1"/>
  <c r="CU2" i="6"/>
  <c r="AH11" i="6"/>
  <c r="BA6" i="6"/>
  <c r="BK6" i="6"/>
  <c r="BZ9" i="6"/>
  <c r="CQ2" i="6"/>
  <c r="BX11" i="6"/>
  <c r="CQ3" i="6"/>
  <c r="BD9" i="6"/>
  <c r="CN4" i="6"/>
  <c r="CO4" i="6"/>
  <c r="Q4" i="6"/>
  <c r="R4" i="6" s="1"/>
  <c r="X2" i="6"/>
  <c r="CU11" i="6"/>
  <c r="AE9" i="6"/>
  <c r="DC8" i="6"/>
  <c r="CY2" i="6"/>
  <c r="CB8" i="6"/>
  <c r="AJ7" i="6"/>
  <c r="CZ9" i="6"/>
  <c r="CF4" i="6"/>
  <c r="AL4" i="6"/>
  <c r="CZ8" i="6"/>
  <c r="BZ8" i="6"/>
  <c r="BA8" i="6"/>
  <c r="AV2" i="6"/>
  <c r="AH7" i="6"/>
  <c r="CU8" i="6"/>
  <c r="BV8" i="6"/>
  <c r="AX8" i="6"/>
  <c r="AY7" i="6"/>
  <c r="X7" i="6"/>
  <c r="AA8" i="6"/>
  <c r="AB8" i="6" s="1"/>
  <c r="AT2" i="6"/>
  <c r="CO10" i="6"/>
  <c r="AV8" i="6"/>
  <c r="V8" i="6"/>
  <c r="CN8" i="6"/>
  <c r="BN8" i="6"/>
  <c r="BL2" i="6"/>
  <c r="R8" i="6"/>
  <c r="CF2" i="6"/>
  <c r="CN7" i="6"/>
  <c r="BN7" i="6"/>
  <c r="AS7" i="6"/>
  <c r="V7" i="6"/>
  <c r="AX3" i="6"/>
  <c r="X9" i="6"/>
  <c r="BL5" i="6"/>
  <c r="BK8" i="6"/>
  <c r="CD2" i="6"/>
  <c r="CB2" i="6"/>
  <c r="V3" i="6"/>
  <c r="AO8" i="6"/>
  <c r="BZ2" i="6"/>
  <c r="BK7" i="6"/>
  <c r="AQ7" i="6"/>
  <c r="T7" i="6"/>
  <c r="CF6" i="6"/>
  <c r="AO6" i="6"/>
  <c r="BT3" i="6"/>
  <c r="T3" i="6"/>
  <c r="AS9" i="6"/>
  <c r="AA4" i="6"/>
  <c r="AB4" i="6" s="1"/>
  <c r="CO5" i="6"/>
  <c r="BL7" i="6"/>
  <c r="X11" i="6"/>
  <c r="AJ6" i="6"/>
  <c r="AM6" i="6"/>
  <c r="V11" i="6"/>
  <c r="CJ11" i="6"/>
  <c r="CK11" i="6" s="1"/>
  <c r="BS11" i="6"/>
  <c r="BT11" i="6" s="1"/>
  <c r="AL11" i="6"/>
  <c r="AS5" i="6"/>
  <c r="AT5" i="6"/>
  <c r="AY11" i="6"/>
  <c r="AH3" i="6"/>
  <c r="CA3" i="6"/>
  <c r="CB3" i="6" s="1"/>
  <c r="AF11" i="6"/>
  <c r="BS4" i="6"/>
  <c r="BT4" i="6" s="1"/>
  <c r="AX4" i="6"/>
  <c r="AY4" i="6"/>
  <c r="AM3" i="6"/>
  <c r="AJ3" i="6"/>
  <c r="CZ5" i="6"/>
  <c r="BR5" i="6"/>
  <c r="AO5" i="6"/>
  <c r="AX10" i="6"/>
  <c r="AY10" i="6"/>
  <c r="BI5" i="6"/>
  <c r="BA5" i="6"/>
  <c r="AJ5" i="6"/>
  <c r="BV5" i="6"/>
  <c r="CN5" i="6"/>
  <c r="V5" i="6"/>
  <c r="BZ5" i="6"/>
  <c r="CU5" i="6"/>
  <c r="X5" i="6"/>
  <c r="BK5" i="6"/>
  <c r="X10" i="6"/>
  <c r="AA10" i="6"/>
  <c r="AB10" i="6" s="1"/>
  <c r="X3" i="6"/>
  <c r="BD3" i="6"/>
  <c r="AO3" i="6"/>
  <c r="Z3" i="6"/>
  <c r="BF3" i="6"/>
  <c r="BV3" i="6"/>
  <c r="AM9" i="6"/>
  <c r="CA9" i="6"/>
  <c r="CB9" i="6" s="1"/>
  <c r="CQ5" i="6"/>
  <c r="CN2" i="6"/>
  <c r="CO2" i="6"/>
  <c r="BN5" i="6"/>
  <c r="AF5" i="6"/>
  <c r="AE5" i="6"/>
  <c r="BS8" i="6"/>
  <c r="BT8" i="6" s="1"/>
  <c r="BR8" i="6"/>
  <c r="CH3" i="6"/>
  <c r="BN3" i="6"/>
  <c r="AA6" i="6"/>
  <c r="AB6" i="6" s="1"/>
  <c r="CZ3" i="6"/>
  <c r="AS3" i="6"/>
  <c r="CN6" i="6"/>
  <c r="AQ6" i="6"/>
  <c r="Z6" i="6"/>
  <c r="CY3" i="6"/>
  <c r="BK3" i="6"/>
  <c r="CH5" i="6"/>
  <c r="BF5" i="6"/>
  <c r="Z5" i="6"/>
  <c r="AJ2" i="6"/>
  <c r="AM2" i="6"/>
  <c r="AQ3" i="6"/>
  <c r="AJ4" i="6"/>
  <c r="AM4" i="6"/>
  <c r="BD5" i="6"/>
  <c r="CD3" i="6"/>
  <c r="BI3" i="6"/>
  <c r="CF5" i="6"/>
  <c r="CU3" i="6"/>
  <c r="V6" i="6"/>
  <c r="AL3" i="6"/>
  <c r="T5" i="6"/>
  <c r="BZ3" i="6"/>
  <c r="AX5" i="6"/>
  <c r="CH6" i="6"/>
  <c r="T6" i="6"/>
  <c r="AM8" i="6"/>
  <c r="AJ8" i="6"/>
  <c r="AV5" i="6"/>
  <c r="CD5" i="6"/>
  <c r="BG9" i="6"/>
  <c r="AA9" i="6"/>
  <c r="AB9" i="6" s="1"/>
  <c r="CB5" i="6"/>
  <c r="AS8" i="6"/>
  <c r="BV9" i="6"/>
  <c r="BF9" i="6"/>
  <c r="BG5" i="6"/>
  <c r="BI8" i="6"/>
  <c r="Z8" i="6"/>
  <c r="AQ8" i="6"/>
  <c r="X8" i="6"/>
  <c r="BK2" i="6"/>
  <c r="Z2" i="6"/>
  <c r="X4" i="6"/>
  <c r="AS2" i="6"/>
  <c r="CA10" i="6"/>
  <c r="CB10" i="6" s="1"/>
  <c r="AH10" i="6"/>
  <c r="BD10" i="6"/>
  <c r="BG10" i="6"/>
  <c r="T8" i="6"/>
  <c r="AH5" i="6"/>
  <c r="BF2" i="6"/>
  <c r="AO2" i="6"/>
  <c r="BV2" i="6"/>
  <c r="AL2" i="6"/>
  <c r="T2" i="6"/>
  <c r="BR7" i="6"/>
  <c r="AF7" i="6"/>
  <c r="AT10" i="6"/>
  <c r="CO7" i="6"/>
  <c r="BD7" i="6"/>
  <c r="CL11" i="11" l="1"/>
  <c r="CM11" i="11" s="1"/>
  <c r="AX10" i="11"/>
  <c r="CP10" i="11"/>
  <c r="CQ10" i="11" s="1"/>
  <c r="AZ8" i="11"/>
  <c r="CP8" i="11"/>
  <c r="CQ8" i="11" s="1"/>
  <c r="AX3" i="11"/>
  <c r="CP3" i="11"/>
  <c r="CQ3" i="11" s="1"/>
  <c r="AX4" i="11"/>
  <c r="CP4" i="11"/>
  <c r="CQ4" i="11" s="1"/>
  <c r="AZ5" i="11"/>
  <c r="CP5" i="11"/>
  <c r="CQ5" i="11" s="1"/>
  <c r="AZ9" i="11"/>
  <c r="CP9" i="11"/>
  <c r="CQ9" i="11" s="1"/>
  <c r="AZ7" i="11"/>
  <c r="CP7" i="11"/>
  <c r="CQ7" i="11" s="1"/>
  <c r="AW7" i="17"/>
  <c r="BF7" i="17"/>
  <c r="W7" i="17"/>
  <c r="AX7" i="11"/>
  <c r="CN7" i="11"/>
  <c r="CG10" i="10"/>
  <c r="CA10" i="10"/>
  <c r="CK10" i="10"/>
  <c r="DV10" i="10"/>
  <c r="BZ10" i="10"/>
  <c r="CN10" i="10"/>
  <c r="CO10" i="10" s="1"/>
  <c r="AF8" i="10"/>
  <c r="CE8" i="10"/>
  <c r="CE6" i="10"/>
  <c r="AG8" i="10"/>
  <c r="CK5" i="10"/>
  <c r="CN5" i="10"/>
  <c r="CO5" i="10" s="1"/>
  <c r="CA5" i="10"/>
  <c r="CG5" i="10"/>
  <c r="DQ5" i="10"/>
  <c r="DV5" i="10"/>
  <c r="DV8" i="10"/>
  <c r="BW5" i="10"/>
  <c r="CG8" i="10"/>
  <c r="CK8" i="10"/>
  <c r="BW8" i="10"/>
  <c r="CN8" i="10"/>
  <c r="CO8" i="10" s="1"/>
  <c r="CA8" i="10"/>
  <c r="CN6" i="11"/>
  <c r="CR6" i="11" s="1"/>
  <c r="CN3" i="11"/>
  <c r="CO3" i="11" s="1"/>
  <c r="CN10" i="11"/>
  <c r="CR10" i="11" s="1"/>
  <c r="AZ4" i="11"/>
  <c r="AX5" i="11"/>
  <c r="CN4" i="11"/>
  <c r="CR4" i="11" s="1"/>
  <c r="AZ3" i="11"/>
  <c r="AX9" i="11"/>
  <c r="AZ10" i="11"/>
  <c r="AX2" i="11"/>
  <c r="AZ2" i="11"/>
  <c r="CN2" i="11"/>
  <c r="CR2" i="11" s="1"/>
  <c r="AX11" i="11"/>
  <c r="AZ11" i="11"/>
  <c r="CR7" i="11"/>
  <c r="CO7" i="11"/>
  <c r="CL9" i="11"/>
  <c r="CM9" i="11" s="1"/>
  <c r="CN9" i="11"/>
  <c r="AX6" i="11"/>
  <c r="AZ6" i="11"/>
  <c r="CR3" i="11"/>
  <c r="CO11" i="11"/>
  <c r="CR11" i="11"/>
  <c r="CN5" i="11"/>
  <c r="CL5" i="11"/>
  <c r="CM5" i="11" s="1"/>
  <c r="CN8" i="11"/>
  <c r="CR8" i="11" s="1"/>
  <c r="AX8" i="11"/>
  <c r="DQ9" i="10"/>
  <c r="AF9" i="10"/>
  <c r="CA3" i="10"/>
  <c r="BW3" i="10"/>
  <c r="AG9" i="10"/>
  <c r="BZ7" i="10"/>
  <c r="BZ9" i="10"/>
  <c r="BW9" i="10"/>
  <c r="CN9" i="10"/>
  <c r="CO9" i="10" s="1"/>
  <c r="BZ3" i="10"/>
  <c r="DV7" i="10"/>
  <c r="AF3" i="10"/>
  <c r="CE3" i="10"/>
  <c r="AG3" i="10"/>
  <c r="CA9" i="10"/>
  <c r="CG9" i="10"/>
  <c r="CK3" i="10"/>
  <c r="CG3" i="10"/>
  <c r="BW7" i="10"/>
  <c r="CA7" i="10"/>
  <c r="CG7" i="10"/>
  <c r="CK7" i="10"/>
  <c r="CE7" i="10"/>
  <c r="AF7" i="10"/>
  <c r="BF2" i="2"/>
  <c r="BF10" i="2"/>
  <c r="AU7" i="2"/>
  <c r="AV7" i="2" s="1"/>
  <c r="BF3" i="2"/>
  <c r="AU2" i="2"/>
  <c r="AV2" i="2" s="1"/>
  <c r="BF7" i="2"/>
  <c r="AU6" i="2"/>
  <c r="AV6" i="2" s="1"/>
  <c r="BF5" i="2"/>
  <c r="BF8" i="2"/>
  <c r="BF9" i="2"/>
  <c r="AU10" i="2"/>
  <c r="AV10" i="2" s="1"/>
  <c r="BF6" i="2"/>
  <c r="DV4" i="10"/>
  <c r="BZ4" i="10"/>
  <c r="AG4" i="10"/>
  <c r="CE4" i="10"/>
  <c r="BF4" i="2"/>
  <c r="BF11" i="2"/>
  <c r="AR3" i="2"/>
  <c r="AU3" i="2"/>
  <c r="AV3" i="2" s="1"/>
  <c r="AU8" i="2"/>
  <c r="AV8" i="2" s="1"/>
  <c r="AR8" i="2"/>
  <c r="AR11" i="2"/>
  <c r="AU11" i="2"/>
  <c r="AV11" i="2" s="1"/>
  <c r="AR5" i="2"/>
  <c r="AU5" i="2"/>
  <c r="AV5" i="2" s="1"/>
  <c r="AU9" i="2"/>
  <c r="AV9" i="2" s="1"/>
  <c r="AR9" i="2"/>
  <c r="BZ2" i="16"/>
  <c r="AS5" i="16"/>
  <c r="DU9" i="16"/>
  <c r="DY9" i="16" s="1"/>
  <c r="AR11" i="16"/>
  <c r="DS6" i="16"/>
  <c r="DT6" i="16" s="1"/>
  <c r="BZ6" i="16"/>
  <c r="BZ5" i="16"/>
  <c r="BE8" i="16"/>
  <c r="BC7" i="16"/>
  <c r="AS7" i="16"/>
  <c r="DY6" i="16"/>
  <c r="BZ10" i="16"/>
  <c r="X7" i="16"/>
  <c r="DU7" i="16"/>
  <c r="DV7" i="16" s="1"/>
  <c r="DU2" i="16"/>
  <c r="DV2" i="16" s="1"/>
  <c r="BB7" i="16"/>
  <c r="DU4" i="16"/>
  <c r="DV4" i="16" s="1"/>
  <c r="AS9" i="16"/>
  <c r="AS2" i="16"/>
  <c r="BB3" i="16"/>
  <c r="BC3" i="16"/>
  <c r="BE3" i="16"/>
  <c r="BB4" i="16"/>
  <c r="X4" i="16"/>
  <c r="BC4" i="16"/>
  <c r="BE4" i="16"/>
  <c r="BZ9" i="16"/>
  <c r="DS10" i="16"/>
  <c r="DT10" i="16" s="1"/>
  <c r="DU10" i="16"/>
  <c r="AR8" i="16"/>
  <c r="AS8" i="16"/>
  <c r="BB11" i="16"/>
  <c r="BC11" i="16"/>
  <c r="X11" i="16"/>
  <c r="BE11" i="16"/>
  <c r="AR4" i="16"/>
  <c r="AS4" i="16"/>
  <c r="BB10" i="16"/>
  <c r="BC10" i="16"/>
  <c r="X10" i="16"/>
  <c r="BE10" i="16"/>
  <c r="DS11" i="16"/>
  <c r="DT11" i="16" s="1"/>
  <c r="DU11" i="16"/>
  <c r="BZ3" i="16"/>
  <c r="DY8" i="16"/>
  <c r="DV8" i="16"/>
  <c r="AS6" i="16"/>
  <c r="AR6" i="16"/>
  <c r="DV3" i="16"/>
  <c r="DY3" i="16"/>
  <c r="DY5" i="16"/>
  <c r="DV5" i="16"/>
  <c r="BZ11" i="16"/>
  <c r="CR7" i="6"/>
  <c r="CS11" i="6"/>
  <c r="CR9" i="6"/>
  <c r="CS9" i="6" s="1"/>
  <c r="CR10" i="6"/>
  <c r="CV10" i="6" s="1"/>
  <c r="CW2" i="6"/>
  <c r="CJ2" i="6"/>
  <c r="CK2" i="6" s="1"/>
  <c r="CS2" i="6"/>
  <c r="CW11" i="6"/>
  <c r="CW8" i="6"/>
  <c r="CV8" i="6"/>
  <c r="CR4" i="6"/>
  <c r="CJ4" i="6"/>
  <c r="CK4" i="6" s="1"/>
  <c r="CW9" i="6"/>
  <c r="CV9" i="6"/>
  <c r="CR5" i="6"/>
  <c r="CJ5" i="6"/>
  <c r="CK5" i="6" s="1"/>
  <c r="CJ3" i="6"/>
  <c r="CK3" i="6" s="1"/>
  <c r="CR3" i="6"/>
  <c r="CJ6" i="6"/>
  <c r="CK6" i="6" s="1"/>
  <c r="CR6" i="6"/>
  <c r="CS7" i="6"/>
  <c r="CW7" i="6"/>
  <c r="CV7" i="6"/>
  <c r="CO6" i="11" l="1"/>
  <c r="CO4" i="11"/>
  <c r="CO10" i="11"/>
  <c r="CO2" i="11"/>
  <c r="CO8" i="11"/>
  <c r="CR9" i="11"/>
  <c r="CO9" i="11"/>
  <c r="CR5" i="11"/>
  <c r="CO5" i="11"/>
  <c r="DV9" i="16"/>
  <c r="DY2" i="16"/>
  <c r="DY7" i="16"/>
  <c r="DY4" i="16"/>
  <c r="DV11" i="16"/>
  <c r="DY11" i="16"/>
  <c r="DY10" i="16"/>
  <c r="DV10" i="16"/>
  <c r="CW10" i="6"/>
  <c r="CS10" i="6"/>
  <c r="CV4" i="6"/>
  <c r="CS4" i="6"/>
  <c r="CW4" i="6"/>
  <c r="CS3" i="6"/>
  <c r="CV3" i="6"/>
  <c r="CW3" i="6"/>
  <c r="CV6" i="6"/>
  <c r="CS6" i="6"/>
  <c r="CW6" i="6"/>
  <c r="CS5" i="6"/>
  <c r="CV5" i="6"/>
  <c r="CW5" i="6"/>
  <c r="B3" i="15" l="1"/>
  <c r="C3" i="15"/>
  <c r="D3" i="15"/>
  <c r="E3" i="15"/>
  <c r="F3" i="15"/>
  <c r="G3" i="15"/>
  <c r="H3" i="15"/>
  <c r="J3" i="15"/>
  <c r="AI3" i="15" s="1"/>
  <c r="K3" i="15"/>
  <c r="L3" i="15" s="1"/>
  <c r="M3" i="15"/>
  <c r="N3" i="15"/>
  <c r="P3" i="15" s="1"/>
  <c r="O3" i="15"/>
  <c r="Q3" i="15"/>
  <c r="R3" i="15"/>
  <c r="W3" i="15"/>
  <c r="X3" i="15" s="1"/>
  <c r="Z3" i="15"/>
  <c r="AD3" i="15"/>
  <c r="AF3" i="15"/>
  <c r="AH3" i="15"/>
  <c r="AK3" i="15"/>
  <c r="AL3" i="15"/>
  <c r="AM3" i="15"/>
  <c r="AN3" i="15"/>
  <c r="AO3" i="15"/>
  <c r="AP3" i="15"/>
  <c r="AT3" i="15"/>
  <c r="AU3" i="15" s="1"/>
  <c r="AV3" i="15"/>
  <c r="AW3" i="15"/>
  <c r="AY3" i="15" s="1"/>
  <c r="BA3" i="15"/>
  <c r="BB3" i="15"/>
  <c r="BD3" i="15"/>
  <c r="BG3" i="15"/>
  <c r="BI3" i="15"/>
  <c r="BK3" i="15"/>
  <c r="BO3" i="15"/>
  <c r="BP3" i="15"/>
  <c r="BQ3" i="15"/>
  <c r="BR3" i="15" s="1"/>
  <c r="BS3" i="15"/>
  <c r="BT3" i="15" s="1"/>
  <c r="BU3" i="15"/>
  <c r="BV3" i="15" s="1"/>
  <c r="BX3" i="15"/>
  <c r="BZ3" i="15"/>
  <c r="CA3" i="15" s="1"/>
  <c r="CB3" i="15"/>
  <c r="CC3" i="15" s="1"/>
  <c r="CD3" i="15"/>
  <c r="CG3" i="15"/>
  <c r="CH3" i="15"/>
  <c r="CM3" i="15"/>
  <c r="CP3" i="15"/>
  <c r="CR3" i="15"/>
  <c r="CX3" i="15"/>
  <c r="CZ3" i="15"/>
  <c r="DB3" i="15"/>
  <c r="DE3" i="15"/>
  <c r="DF3" i="15"/>
  <c r="DG3" i="15" s="1"/>
  <c r="DH3" i="15"/>
  <c r="DK3" i="15"/>
  <c r="DM3" i="15"/>
  <c r="DN3" i="15"/>
  <c r="DQ3" i="15"/>
  <c r="DR3" i="15" s="1"/>
  <c r="DS3" i="15"/>
  <c r="DT3" i="15"/>
  <c r="DW3" i="15"/>
  <c r="DX3" i="15"/>
  <c r="EB3" i="15"/>
  <c r="EC3" i="15"/>
  <c r="EE3" i="15"/>
  <c r="EG3" i="15"/>
  <c r="EF3" i="15" s="1"/>
  <c r="A2" i="17"/>
  <c r="A3" i="17"/>
  <c r="B3" i="17"/>
  <c r="C3" i="17"/>
  <c r="D3" i="17"/>
  <c r="E3" i="17"/>
  <c r="F3" i="17"/>
  <c r="G3" i="17"/>
  <c r="H3" i="17"/>
  <c r="I3" i="17"/>
  <c r="J3" i="17"/>
  <c r="L3" i="17"/>
  <c r="M3" i="17"/>
  <c r="N3" i="17" s="1"/>
  <c r="P3" i="17"/>
  <c r="Q3" i="17"/>
  <c r="X3" i="17"/>
  <c r="Z3" i="17"/>
  <c r="AC3" i="17"/>
  <c r="AE3" i="17"/>
  <c r="AH3" i="17"/>
  <c r="AK3" i="17"/>
  <c r="AO3" i="17"/>
  <c r="AQ3" i="17"/>
  <c r="AS3" i="17"/>
  <c r="AY3" i="17"/>
  <c r="AZ3" i="17"/>
  <c r="BA3" i="17"/>
  <c r="BB3" i="17"/>
  <c r="BC3" i="17" s="1"/>
  <c r="BH3" i="17"/>
  <c r="BJ3" i="17"/>
  <c r="BL3" i="17"/>
  <c r="BM3" i="17"/>
  <c r="BN3" i="17"/>
  <c r="BP3" i="17"/>
  <c r="BS3" i="17"/>
  <c r="BU3" i="17"/>
  <c r="BV3" i="17"/>
  <c r="BX3" i="17"/>
  <c r="BZ3" i="17"/>
  <c r="CC3" i="17"/>
  <c r="CD3" i="17"/>
  <c r="CF3" i="17"/>
  <c r="CG3" i="17"/>
  <c r="CH3" i="17"/>
  <c r="CI3" i="17"/>
  <c r="CL3" i="17"/>
  <c r="A4" i="17"/>
  <c r="B10" i="17"/>
  <c r="C10" i="17"/>
  <c r="D10" i="17"/>
  <c r="E10" i="17"/>
  <c r="F10" i="17"/>
  <c r="G10" i="17"/>
  <c r="H10" i="17"/>
  <c r="I10" i="17"/>
  <c r="J10" i="17"/>
  <c r="L10" i="17"/>
  <c r="M10" i="17"/>
  <c r="N10" i="17" s="1"/>
  <c r="P10" i="17"/>
  <c r="Q10" i="17"/>
  <c r="X10" i="17"/>
  <c r="Z10" i="17"/>
  <c r="AC10" i="17"/>
  <c r="AE10" i="17"/>
  <c r="AH10" i="17"/>
  <c r="AK10" i="17"/>
  <c r="AO10" i="17"/>
  <c r="AQ10" i="17"/>
  <c r="AS10" i="17"/>
  <c r="AY10" i="17"/>
  <c r="AZ10" i="17"/>
  <c r="BA10" i="17"/>
  <c r="BB10" i="17"/>
  <c r="BG10" i="17" s="1"/>
  <c r="BH10" i="17"/>
  <c r="BJ10" i="17"/>
  <c r="BL10" i="17"/>
  <c r="BM10" i="17"/>
  <c r="BN10" i="17"/>
  <c r="BP10" i="17"/>
  <c r="BS10" i="17"/>
  <c r="BU10" i="17"/>
  <c r="BV10" i="17"/>
  <c r="BX10" i="17"/>
  <c r="BZ10" i="17"/>
  <c r="CC10" i="17"/>
  <c r="CD10" i="17"/>
  <c r="CF10" i="17"/>
  <c r="CG10" i="17"/>
  <c r="CH10" i="17"/>
  <c r="CI10" i="17"/>
  <c r="CL10" i="17"/>
  <c r="A5" i="17"/>
  <c r="A6" i="17"/>
  <c r="B4" i="17"/>
  <c r="C4" i="17"/>
  <c r="D4" i="17"/>
  <c r="E4" i="17"/>
  <c r="F4" i="17"/>
  <c r="G4" i="17"/>
  <c r="H4" i="17"/>
  <c r="I4" i="17"/>
  <c r="J4" i="17"/>
  <c r="L4" i="17"/>
  <c r="M4" i="17"/>
  <c r="N4" i="17" s="1"/>
  <c r="P4" i="17"/>
  <c r="Q4" i="17"/>
  <c r="X4" i="17"/>
  <c r="Z4" i="17"/>
  <c r="AC4" i="17"/>
  <c r="AE4" i="17"/>
  <c r="AH4" i="17"/>
  <c r="AK4" i="17"/>
  <c r="AO4" i="17"/>
  <c r="AQ4" i="17"/>
  <c r="AS4" i="17"/>
  <c r="AY4" i="17"/>
  <c r="AZ4" i="17"/>
  <c r="BA4" i="17"/>
  <c r="BB4" i="17"/>
  <c r="BG4" i="17" s="1"/>
  <c r="BH4" i="17"/>
  <c r="BJ4" i="17"/>
  <c r="BL4" i="17"/>
  <c r="BM4" i="17"/>
  <c r="BN4" i="17"/>
  <c r="BP4" i="17"/>
  <c r="BS4" i="17"/>
  <c r="BU4" i="17"/>
  <c r="BV4" i="17"/>
  <c r="BX4" i="17"/>
  <c r="BZ4" i="17"/>
  <c r="CC4" i="17"/>
  <c r="CD4" i="17"/>
  <c r="CF4" i="17"/>
  <c r="CG4" i="17"/>
  <c r="CH4" i="17"/>
  <c r="CI4" i="17"/>
  <c r="CL4" i="17"/>
  <c r="A7" i="17"/>
  <c r="A8" i="17"/>
  <c r="B8" i="17"/>
  <c r="C8" i="17"/>
  <c r="D8" i="17"/>
  <c r="E8" i="17"/>
  <c r="F8" i="17"/>
  <c r="G8" i="17"/>
  <c r="H8" i="17"/>
  <c r="I8" i="17"/>
  <c r="J8" i="17"/>
  <c r="L8" i="17"/>
  <c r="M8" i="17"/>
  <c r="N8" i="17" s="1"/>
  <c r="P8" i="17"/>
  <c r="Q8" i="17"/>
  <c r="X8" i="17"/>
  <c r="Z8" i="17"/>
  <c r="AC8" i="17"/>
  <c r="AE8" i="17"/>
  <c r="AH8" i="17"/>
  <c r="AK8" i="17"/>
  <c r="AO8" i="17"/>
  <c r="AQ8" i="17"/>
  <c r="AS8" i="17"/>
  <c r="AY8" i="17"/>
  <c r="AZ8" i="17"/>
  <c r="BA8" i="17"/>
  <c r="BB8" i="17"/>
  <c r="BH8" i="17"/>
  <c r="BJ8" i="17"/>
  <c r="BL8" i="17"/>
  <c r="BM8" i="17"/>
  <c r="BN8" i="17"/>
  <c r="BP8" i="17"/>
  <c r="BS8" i="17"/>
  <c r="BU8" i="17"/>
  <c r="BV8" i="17"/>
  <c r="BX8" i="17"/>
  <c r="BZ8" i="17"/>
  <c r="CC8" i="17"/>
  <c r="CD8" i="17"/>
  <c r="CF8" i="17"/>
  <c r="CG8" i="17"/>
  <c r="CH8" i="17"/>
  <c r="CI8" i="17"/>
  <c r="CL8" i="17"/>
  <c r="A9" i="17"/>
  <c r="B6" i="17"/>
  <c r="C6" i="17"/>
  <c r="D6" i="17"/>
  <c r="E6" i="17"/>
  <c r="F6" i="17"/>
  <c r="G6" i="17"/>
  <c r="H6" i="17"/>
  <c r="I6" i="17"/>
  <c r="J6" i="17"/>
  <c r="L6" i="17"/>
  <c r="M6" i="17"/>
  <c r="P6" i="17"/>
  <c r="Q6" i="17"/>
  <c r="X6" i="17"/>
  <c r="Z6" i="17"/>
  <c r="AC6" i="17"/>
  <c r="AE6" i="17"/>
  <c r="AH6" i="17"/>
  <c r="AK6" i="17"/>
  <c r="AO6" i="17"/>
  <c r="AQ6" i="17"/>
  <c r="AS6" i="17"/>
  <c r="AY6" i="17"/>
  <c r="AZ6" i="17"/>
  <c r="BA6" i="17"/>
  <c r="BB6" i="17"/>
  <c r="BG6" i="17" s="1"/>
  <c r="BH6" i="17"/>
  <c r="BJ6" i="17"/>
  <c r="BL6" i="17"/>
  <c r="BM6" i="17"/>
  <c r="BN6" i="17"/>
  <c r="BP6" i="17"/>
  <c r="BS6" i="17"/>
  <c r="BU6" i="17"/>
  <c r="BV6" i="17"/>
  <c r="BX6" i="17"/>
  <c r="BZ6" i="17"/>
  <c r="CC6" i="17"/>
  <c r="CD6" i="17"/>
  <c r="CF6" i="17"/>
  <c r="CG6" i="17"/>
  <c r="CH6" i="17"/>
  <c r="CI6" i="17"/>
  <c r="CL6" i="17"/>
  <c r="A10" i="17"/>
  <c r="A11" i="17"/>
  <c r="B3" i="18"/>
  <c r="B4" i="18"/>
  <c r="B5" i="18"/>
  <c r="B6" i="18"/>
  <c r="B7" i="18"/>
  <c r="B8" i="18"/>
  <c r="B9" i="18"/>
  <c r="B10" i="18"/>
  <c r="B11" i="18"/>
  <c r="B12" i="18"/>
  <c r="B2" i="18"/>
  <c r="A5" i="10"/>
  <c r="B11" i="10"/>
  <c r="C11" i="10"/>
  <c r="D11" i="10"/>
  <c r="E11" i="10"/>
  <c r="F11" i="10"/>
  <c r="G11" i="10"/>
  <c r="H11" i="10"/>
  <c r="I11" i="10"/>
  <c r="J11" i="10"/>
  <c r="L11" i="10"/>
  <c r="M11" i="10"/>
  <c r="N11" i="10" s="1"/>
  <c r="O11" i="10"/>
  <c r="P11" i="10"/>
  <c r="Q11" i="10"/>
  <c r="U11" i="10"/>
  <c r="V11" i="10" s="1"/>
  <c r="X11" i="10"/>
  <c r="Y11" i="10"/>
  <c r="AA11" i="10"/>
  <c r="AB11" i="10"/>
  <c r="AD11" i="10"/>
  <c r="AN11" i="10"/>
  <c r="AP11" i="10"/>
  <c r="AR11" i="10"/>
  <c r="AU11" i="10"/>
  <c r="AV11" i="10"/>
  <c r="AW11" i="10"/>
  <c r="AZ11" i="10" s="1"/>
  <c r="AX11" i="10"/>
  <c r="BA11" i="10"/>
  <c r="BB11" i="10"/>
  <c r="BE11" i="10"/>
  <c r="BH11" i="10"/>
  <c r="BJ11" i="10"/>
  <c r="BL11" i="10"/>
  <c r="BN11" i="10"/>
  <c r="BP11" i="10"/>
  <c r="BR11" i="10"/>
  <c r="BS11" i="10"/>
  <c r="BT11" i="10"/>
  <c r="BU11" i="10"/>
  <c r="BV11" i="10"/>
  <c r="CB11" i="10"/>
  <c r="CC11" i="10"/>
  <c r="CD11" i="10"/>
  <c r="CH11" i="10"/>
  <c r="CF11" i="10" s="1"/>
  <c r="CL11" i="10"/>
  <c r="DW11" i="10" s="1"/>
  <c r="CQ11" i="10"/>
  <c r="CU11" i="10"/>
  <c r="CW11" i="10"/>
  <c r="CZ11" i="10"/>
  <c r="DC11" i="10"/>
  <c r="EE11" i="10" s="1"/>
  <c r="DE11" i="10"/>
  <c r="DH11" i="10"/>
  <c r="DJ11" i="10"/>
  <c r="DL11" i="10"/>
  <c r="DO11" i="10"/>
  <c r="DR11" i="10"/>
  <c r="DU11" i="10"/>
  <c r="DZ11" i="10"/>
  <c r="EB11" i="10"/>
  <c r="EG11" i="10"/>
  <c r="EI11" i="10"/>
  <c r="EK11" i="10"/>
  <c r="EL11" i="10"/>
  <c r="A2" i="10"/>
  <c r="A3" i="10"/>
  <c r="A4" i="10"/>
  <c r="B9" i="17"/>
  <c r="C9" i="17"/>
  <c r="D9" i="17"/>
  <c r="E9" i="17"/>
  <c r="F9" i="17"/>
  <c r="G9" i="17"/>
  <c r="H9" i="17"/>
  <c r="I9" i="17"/>
  <c r="J9" i="17"/>
  <c r="L9" i="17"/>
  <c r="M9" i="17"/>
  <c r="N9" i="17" s="1"/>
  <c r="P9" i="17"/>
  <c r="Q9" i="17"/>
  <c r="X9" i="17"/>
  <c r="Z9" i="17"/>
  <c r="AC9" i="17"/>
  <c r="AE9" i="17"/>
  <c r="AH9" i="17"/>
  <c r="AK9" i="17"/>
  <c r="AO9" i="17"/>
  <c r="AQ9" i="17"/>
  <c r="AS9" i="17"/>
  <c r="AY9" i="17"/>
  <c r="AZ9" i="17"/>
  <c r="BA9" i="17"/>
  <c r="BB9" i="17"/>
  <c r="BH9" i="17"/>
  <c r="BJ9" i="17"/>
  <c r="BL9" i="17"/>
  <c r="BM9" i="17"/>
  <c r="BN9" i="17"/>
  <c r="BP9" i="17"/>
  <c r="BS9" i="17"/>
  <c r="BU9" i="17"/>
  <c r="BV9" i="17"/>
  <c r="BX9" i="17"/>
  <c r="BZ9" i="17"/>
  <c r="CC9" i="17"/>
  <c r="CD9" i="17"/>
  <c r="CF9" i="17"/>
  <c r="CG9" i="17"/>
  <c r="CH9" i="17"/>
  <c r="CI9" i="17"/>
  <c r="CL9" i="17"/>
  <c r="B11" i="17"/>
  <c r="C11" i="17"/>
  <c r="D11" i="17"/>
  <c r="E11" i="17"/>
  <c r="F11" i="17"/>
  <c r="G11" i="17"/>
  <c r="H11" i="17"/>
  <c r="I11" i="17"/>
  <c r="J11" i="17"/>
  <c r="L11" i="17"/>
  <c r="M11" i="17"/>
  <c r="N11" i="17" s="1"/>
  <c r="P11" i="17"/>
  <c r="Q11" i="17"/>
  <c r="X11" i="17"/>
  <c r="Z11" i="17"/>
  <c r="AC11" i="17"/>
  <c r="AE11" i="17"/>
  <c r="AH11" i="17"/>
  <c r="AK11" i="17"/>
  <c r="AO11" i="17"/>
  <c r="AQ11" i="17"/>
  <c r="AS11" i="17"/>
  <c r="AY11" i="17"/>
  <c r="AZ11" i="17"/>
  <c r="BA11" i="17"/>
  <c r="BB11" i="17"/>
  <c r="BH11" i="17"/>
  <c r="BJ11" i="17"/>
  <c r="BL11" i="17"/>
  <c r="BM11" i="17"/>
  <c r="BN11" i="17"/>
  <c r="BP11" i="17"/>
  <c r="BS11" i="17"/>
  <c r="BU11" i="17"/>
  <c r="BV11" i="17"/>
  <c r="BX11" i="17"/>
  <c r="BZ11" i="17"/>
  <c r="CC11" i="17"/>
  <c r="CD11" i="17"/>
  <c r="CF11" i="17"/>
  <c r="CG11" i="17"/>
  <c r="CI11" i="17"/>
  <c r="CL11" i="17"/>
  <c r="B2" i="17"/>
  <c r="C2" i="17"/>
  <c r="D2" i="17"/>
  <c r="E2" i="17"/>
  <c r="F2" i="17"/>
  <c r="G2" i="17"/>
  <c r="H2" i="17"/>
  <c r="I2" i="17"/>
  <c r="J2" i="17"/>
  <c r="L2" i="17"/>
  <c r="M2" i="17"/>
  <c r="P2" i="17"/>
  <c r="Q2" i="17"/>
  <c r="X2" i="17"/>
  <c r="Z2" i="17"/>
  <c r="AC2" i="17"/>
  <c r="AE2" i="17"/>
  <c r="AH2" i="17"/>
  <c r="AK2" i="17"/>
  <c r="AO2" i="17"/>
  <c r="AQ2" i="17"/>
  <c r="AS2" i="17"/>
  <c r="AY2" i="17"/>
  <c r="AZ2" i="17"/>
  <c r="BA2" i="17"/>
  <c r="BB2" i="17"/>
  <c r="BH2" i="17"/>
  <c r="BJ2" i="17"/>
  <c r="BL2" i="17"/>
  <c r="BM2" i="17"/>
  <c r="BN2" i="17"/>
  <c r="BP2" i="17"/>
  <c r="BS2" i="17"/>
  <c r="BU2" i="17"/>
  <c r="BV2" i="17"/>
  <c r="BX2" i="17"/>
  <c r="BZ2" i="17"/>
  <c r="CC2" i="17"/>
  <c r="CD2" i="17"/>
  <c r="CF2" i="17"/>
  <c r="CG2" i="17"/>
  <c r="CH2" i="17"/>
  <c r="CI2" i="17"/>
  <c r="CL2" i="17"/>
  <c r="B5" i="17"/>
  <c r="C5" i="17"/>
  <c r="D5" i="17"/>
  <c r="E5" i="17"/>
  <c r="F5" i="17"/>
  <c r="G5" i="17"/>
  <c r="H5" i="17"/>
  <c r="I5" i="17"/>
  <c r="J5" i="17"/>
  <c r="L5" i="17"/>
  <c r="M5" i="17"/>
  <c r="P5" i="17"/>
  <c r="Q5" i="17"/>
  <c r="X5" i="17"/>
  <c r="Z5" i="17"/>
  <c r="AC5" i="17"/>
  <c r="AE5" i="17"/>
  <c r="AH5" i="17"/>
  <c r="AK5" i="17"/>
  <c r="AO5" i="17"/>
  <c r="AQ5" i="17"/>
  <c r="AS5" i="17"/>
  <c r="AY5" i="17"/>
  <c r="AZ5" i="17"/>
  <c r="BA5" i="17"/>
  <c r="BB5" i="17"/>
  <c r="BC5" i="17" s="1"/>
  <c r="BH5" i="17"/>
  <c r="BJ5" i="17"/>
  <c r="BL5" i="17"/>
  <c r="BM5" i="17"/>
  <c r="BN5" i="17"/>
  <c r="BP5" i="17"/>
  <c r="BS5" i="17"/>
  <c r="BU5" i="17"/>
  <c r="BV5" i="17"/>
  <c r="BX5" i="17"/>
  <c r="BZ5" i="17"/>
  <c r="CC5" i="17"/>
  <c r="CD5" i="17"/>
  <c r="CF5" i="17"/>
  <c r="CG5" i="17"/>
  <c r="CH5" i="17"/>
  <c r="CI5" i="17"/>
  <c r="CL5" i="17"/>
  <c r="V3" i="17" l="1"/>
  <c r="AD4" i="17"/>
  <c r="AA4" i="17"/>
  <c r="Y4" i="17"/>
  <c r="K7" i="17"/>
  <c r="CK7" i="17"/>
  <c r="BR3" i="17"/>
  <c r="AR3" i="15"/>
  <c r="K2" i="10"/>
  <c r="K6" i="10"/>
  <c r="K10" i="10"/>
  <c r="K5" i="10"/>
  <c r="K8" i="10"/>
  <c r="BY11" i="10"/>
  <c r="K9" i="10"/>
  <c r="K3" i="10"/>
  <c r="K7" i="10"/>
  <c r="K4" i="10"/>
  <c r="DD3" i="15"/>
  <c r="DC3" i="15"/>
  <c r="DA3" i="15"/>
  <c r="ED3" i="15"/>
  <c r="DY3" i="15"/>
  <c r="CY3" i="15"/>
  <c r="DV3" i="15"/>
  <c r="DU3" i="15"/>
  <c r="CQ3" i="15"/>
  <c r="DI3" i="15"/>
  <c r="DJ3" i="15" s="1"/>
  <c r="S3" i="15"/>
  <c r="AQ3" i="15" s="1"/>
  <c r="CN3" i="15"/>
  <c r="BL3" i="15"/>
  <c r="BH3" i="15"/>
  <c r="CK3" i="15"/>
  <c r="CI3" i="15"/>
  <c r="BE3" i="15"/>
  <c r="AJ3" i="15"/>
  <c r="CF3" i="15"/>
  <c r="BF3" i="15"/>
  <c r="CJ3" i="15"/>
  <c r="BM3" i="15"/>
  <c r="BN3" i="15" s="1"/>
  <c r="CS3" i="15"/>
  <c r="BY3" i="15"/>
  <c r="AG3" i="15"/>
  <c r="BW3" i="15"/>
  <c r="BC3" i="15"/>
  <c r="AE3" i="15"/>
  <c r="DL3" i="15"/>
  <c r="AX3" i="15"/>
  <c r="Y3" i="15"/>
  <c r="AB3" i="15"/>
  <c r="AS3" i="15"/>
  <c r="BJ3" i="15"/>
  <c r="AA3" i="15"/>
  <c r="DP3" i="15"/>
  <c r="DO3" i="15"/>
  <c r="V3" i="15"/>
  <c r="U3" i="15"/>
  <c r="CV3" i="15"/>
  <c r="AZ3" i="15"/>
  <c r="T3" i="15"/>
  <c r="EA3" i="15"/>
  <c r="CE3" i="15"/>
  <c r="DZ3" i="15"/>
  <c r="CT3" i="15"/>
  <c r="BR6" i="17"/>
  <c r="AX10" i="17"/>
  <c r="AT6" i="17"/>
  <c r="BY6" i="17"/>
  <c r="AN6" i="17"/>
  <c r="AI6" i="17"/>
  <c r="BQ6" i="17"/>
  <c r="BO6" i="17"/>
  <c r="R8" i="17"/>
  <c r="AL8" i="17" s="1"/>
  <c r="AV6" i="17"/>
  <c r="S6" i="17"/>
  <c r="T6" i="17" s="1"/>
  <c r="AU10" i="17"/>
  <c r="CE8" i="17"/>
  <c r="AJ8" i="17"/>
  <c r="U3" i="17"/>
  <c r="S10" i="17"/>
  <c r="W10" i="17" s="1"/>
  <c r="AF10" i="17"/>
  <c r="Y6" i="17"/>
  <c r="V8" i="17"/>
  <c r="R6" i="17"/>
  <c r="AL6" i="17" s="1"/>
  <c r="AF4" i="17"/>
  <c r="O6" i="17"/>
  <c r="CE10" i="17"/>
  <c r="AX4" i="17"/>
  <c r="AU8" i="17"/>
  <c r="CA4" i="17"/>
  <c r="AR4" i="17"/>
  <c r="CA6" i="17"/>
  <c r="AT8" i="17"/>
  <c r="BY4" i="17"/>
  <c r="AB3" i="17"/>
  <c r="BT6" i="17"/>
  <c r="AR6" i="17"/>
  <c r="AX8" i="17"/>
  <c r="V4" i="17"/>
  <c r="BI3" i="17"/>
  <c r="BY8" i="17"/>
  <c r="CA8" i="17"/>
  <c r="AF6" i="17"/>
  <c r="BT8" i="17"/>
  <c r="CB4" i="17"/>
  <c r="AT4" i="17"/>
  <c r="CE3" i="17"/>
  <c r="AD6" i="17"/>
  <c r="AN8" i="17"/>
  <c r="CA3" i="17"/>
  <c r="BK6" i="17"/>
  <c r="AA6" i="17"/>
  <c r="BQ8" i="17"/>
  <c r="BY3" i="17"/>
  <c r="AR3" i="17"/>
  <c r="CJ6" i="17"/>
  <c r="BI6" i="17"/>
  <c r="BO8" i="17"/>
  <c r="BW4" i="17"/>
  <c r="CA10" i="17"/>
  <c r="AP3" i="17"/>
  <c r="BF3" i="17" s="1"/>
  <c r="AF8" i="17"/>
  <c r="BT4" i="17"/>
  <c r="AN4" i="17"/>
  <c r="BY10" i="17"/>
  <c r="BW8" i="17"/>
  <c r="V6" i="17"/>
  <c r="AD8" i="17"/>
  <c r="AM4" i="17"/>
  <c r="BW10" i="17"/>
  <c r="AJ3" i="17"/>
  <c r="CJ8" i="17"/>
  <c r="AA8" i="17"/>
  <c r="BQ4" i="17"/>
  <c r="AG3" i="17"/>
  <c r="Y8" i="17"/>
  <c r="BQ3" i="17"/>
  <c r="AX6" i="17"/>
  <c r="Y3" i="17"/>
  <c r="AA10" i="17"/>
  <c r="BW6" i="17"/>
  <c r="R4" i="17"/>
  <c r="AL4" i="17" s="1"/>
  <c r="BK3" i="17"/>
  <c r="CE6" i="17"/>
  <c r="AT10" i="17"/>
  <c r="K10" i="17"/>
  <c r="S8" i="17"/>
  <c r="T8" i="17" s="1"/>
  <c r="CK3" i="17"/>
  <c r="AR8" i="17"/>
  <c r="AR9" i="17"/>
  <c r="AP8" i="17"/>
  <c r="U8" i="17"/>
  <c r="BR4" i="17"/>
  <c r="S4" i="17"/>
  <c r="W4" i="17" s="1"/>
  <c r="BQ10" i="17"/>
  <c r="AI10" i="17"/>
  <c r="AU4" i="17"/>
  <c r="BO10" i="17"/>
  <c r="AU3" i="17"/>
  <c r="N6" i="17"/>
  <c r="BO4" i="17"/>
  <c r="AP4" i="17"/>
  <c r="O4" i="17"/>
  <c r="AD10" i="17"/>
  <c r="AN3" i="17"/>
  <c r="BR8" i="17"/>
  <c r="AB10" i="17"/>
  <c r="AM3" i="17"/>
  <c r="AM6" i="17"/>
  <c r="BD8" i="17"/>
  <c r="BE8" i="17" s="1"/>
  <c r="CJ4" i="17"/>
  <c r="CJ10" i="17"/>
  <c r="BK10" i="17"/>
  <c r="AJ6" i="17"/>
  <c r="BI8" i="17"/>
  <c r="AI8" i="17"/>
  <c r="BK4" i="17"/>
  <c r="BI10" i="17"/>
  <c r="BC8" i="17"/>
  <c r="BI4" i="17"/>
  <c r="AI4" i="17"/>
  <c r="Y10" i="17"/>
  <c r="BD4" i="17"/>
  <c r="BE4" i="17" s="1"/>
  <c r="BC10" i="17"/>
  <c r="V10" i="17"/>
  <c r="BD6" i="17"/>
  <c r="BE6" i="17" s="1"/>
  <c r="AG6" i="17"/>
  <c r="CB8" i="17"/>
  <c r="AG8" i="17"/>
  <c r="CK4" i="17"/>
  <c r="K6" i="17"/>
  <c r="CE4" i="17"/>
  <c r="BC4" i="17"/>
  <c r="CJ3" i="17"/>
  <c r="AP6" i="17"/>
  <c r="AR10" i="17"/>
  <c r="AP10" i="17"/>
  <c r="BC6" i="17"/>
  <c r="U4" i="17"/>
  <c r="CK10" i="17"/>
  <c r="BO3" i="17"/>
  <c r="AI3" i="17"/>
  <c r="S3" i="17"/>
  <c r="T3" i="17" s="1"/>
  <c r="AV8" i="17"/>
  <c r="AJ4" i="17"/>
  <c r="BT10" i="17"/>
  <c r="BD10" i="17"/>
  <c r="BE10" i="17" s="1"/>
  <c r="AN10" i="17"/>
  <c r="AX3" i="17"/>
  <c r="R3" i="17"/>
  <c r="AL3" i="17" s="1"/>
  <c r="U6" i="17"/>
  <c r="BK8" i="17"/>
  <c r="O8" i="17"/>
  <c r="AM10" i="17"/>
  <c r="BR10" i="17"/>
  <c r="CB3" i="17"/>
  <c r="AV3" i="17"/>
  <c r="AF3" i="17"/>
  <c r="AG4" i="17"/>
  <c r="U10" i="17"/>
  <c r="O3" i="17"/>
  <c r="AB8" i="17"/>
  <c r="AV4" i="17"/>
  <c r="AJ10" i="17"/>
  <c r="AT3" i="17"/>
  <c r="AD3" i="17"/>
  <c r="BG8" i="17"/>
  <c r="K8" i="17"/>
  <c r="CB6" i="17"/>
  <c r="R10" i="17"/>
  <c r="AL10" i="17" s="1"/>
  <c r="AU6" i="17"/>
  <c r="CK8" i="17"/>
  <c r="AG10" i="17"/>
  <c r="BW3" i="17"/>
  <c r="BG3" i="17"/>
  <c r="AA3" i="17"/>
  <c r="K3" i="17"/>
  <c r="AB4" i="17"/>
  <c r="CB10" i="17"/>
  <c r="AV10" i="17"/>
  <c r="AM8" i="17"/>
  <c r="K4" i="17"/>
  <c r="O10" i="17"/>
  <c r="AB6" i="17"/>
  <c r="BT3" i="17"/>
  <c r="BD3" i="17"/>
  <c r="BE3" i="17" s="1"/>
  <c r="CK6" i="17"/>
  <c r="BK5" i="17"/>
  <c r="BI2" i="17"/>
  <c r="O2" i="17"/>
  <c r="AR5" i="17"/>
  <c r="CJ11" i="17"/>
  <c r="AD5" i="17"/>
  <c r="AT11" i="10"/>
  <c r="BO11" i="10"/>
  <c r="AL11" i="10"/>
  <c r="CX11" i="10"/>
  <c r="CV11" i="10"/>
  <c r="BK11" i="10"/>
  <c r="EC11" i="10"/>
  <c r="DX11" i="10"/>
  <c r="AI11" i="10"/>
  <c r="CJ11" i="10"/>
  <c r="CG11" i="10" s="1"/>
  <c r="DT11" i="10"/>
  <c r="DS11" i="10"/>
  <c r="AQ11" i="10"/>
  <c r="DN11" i="10"/>
  <c r="EA11" i="10"/>
  <c r="CR11" i="10"/>
  <c r="BI11" i="10"/>
  <c r="AK11" i="10"/>
  <c r="DP11" i="10"/>
  <c r="DQ11" i="10" s="1"/>
  <c r="AM11" i="10"/>
  <c r="AO11" i="10" s="1"/>
  <c r="BC11" i="10"/>
  <c r="AH11" i="10"/>
  <c r="DK11" i="10"/>
  <c r="DI11" i="10"/>
  <c r="W11" i="10"/>
  <c r="DF11" i="10"/>
  <c r="AY11" i="10"/>
  <c r="EF11" i="10"/>
  <c r="EJ11" i="10"/>
  <c r="BQ11" i="10"/>
  <c r="AS11" i="10"/>
  <c r="CS11" i="10"/>
  <c r="CM11" i="10"/>
  <c r="DB11" i="10"/>
  <c r="DM11" i="10"/>
  <c r="AC11" i="10"/>
  <c r="AE11" i="10" s="1"/>
  <c r="BF11" i="10"/>
  <c r="BG11" i="10" s="1"/>
  <c r="BD11" i="10"/>
  <c r="ED11" i="10"/>
  <c r="CY11" i="10"/>
  <c r="BM11" i="10"/>
  <c r="DG11" i="10"/>
  <c r="CP11" i="10"/>
  <c r="DD11" i="10"/>
  <c r="BX11" i="10"/>
  <c r="BZ11" i="10" s="1"/>
  <c r="EH11" i="10"/>
  <c r="Z11" i="10"/>
  <c r="CE11" i="10" s="1"/>
  <c r="DA11" i="10"/>
  <c r="CI11" i="10"/>
  <c r="AJ11" i="10"/>
  <c r="T11" i="10"/>
  <c r="S11" i="10"/>
  <c r="CT11" i="10"/>
  <c r="R11" i="10"/>
  <c r="DY11" i="10"/>
  <c r="Y2" i="17"/>
  <c r="BK2" i="17"/>
  <c r="S2" i="17"/>
  <c r="W2" i="17" s="1"/>
  <c r="BI5" i="17"/>
  <c r="O5" i="17"/>
  <c r="V11" i="17"/>
  <c r="R11" i="17"/>
  <c r="AL11" i="17" s="1"/>
  <c r="CJ9" i="17"/>
  <c r="AR2" i="17"/>
  <c r="BD2" i="17"/>
  <c r="BE2" i="17" s="1"/>
  <c r="AJ11" i="17"/>
  <c r="BR11" i="17"/>
  <c r="AF11" i="17"/>
  <c r="BQ11" i="17"/>
  <c r="AA11" i="17"/>
  <c r="BT5" i="17"/>
  <c r="BQ2" i="17"/>
  <c r="CB11" i="17"/>
  <c r="U9" i="17"/>
  <c r="AD11" i="17"/>
  <c r="AT5" i="17"/>
  <c r="AN5" i="17"/>
  <c r="BK11" i="17"/>
  <c r="BW5" i="17"/>
  <c r="S11" i="17"/>
  <c r="W11" i="17" s="1"/>
  <c r="AJ5" i="17"/>
  <c r="R5" i="17"/>
  <c r="AL5" i="17" s="1"/>
  <c r="CA11" i="17"/>
  <c r="AU11" i="17"/>
  <c r="AB5" i="17"/>
  <c r="CJ2" i="17"/>
  <c r="CE9" i="17"/>
  <c r="CJ5" i="17"/>
  <c r="R2" i="17"/>
  <c r="AL2" i="17" s="1"/>
  <c r="BI11" i="17"/>
  <c r="AU9" i="17"/>
  <c r="CE11" i="17"/>
  <c r="AN9" i="17"/>
  <c r="BC11" i="17"/>
  <c r="BT9" i="17"/>
  <c r="BR9" i="17"/>
  <c r="BQ9" i="17"/>
  <c r="BY11" i="17"/>
  <c r="AB9" i="17"/>
  <c r="Y9" i="17"/>
  <c r="BR5" i="17"/>
  <c r="AG5" i="17"/>
  <c r="AG2" i="17"/>
  <c r="AN11" i="17"/>
  <c r="BQ5" i="17"/>
  <c r="AM11" i="17"/>
  <c r="BC9" i="17"/>
  <c r="N5" i="17"/>
  <c r="AA2" i="17"/>
  <c r="AB11" i="17"/>
  <c r="AU5" i="17"/>
  <c r="AM9" i="17"/>
  <c r="AF5" i="17"/>
  <c r="BC2" i="17"/>
  <c r="Y11" i="17"/>
  <c r="AJ9" i="17"/>
  <c r="CE2" i="17"/>
  <c r="U2" i="17"/>
  <c r="AX5" i="17"/>
  <c r="CA2" i="17"/>
  <c r="AG9" i="17"/>
  <c r="BO5" i="17"/>
  <c r="BY2" i="17"/>
  <c r="V2" i="17"/>
  <c r="BW11" i="17"/>
  <c r="AT11" i="17"/>
  <c r="U11" i="17"/>
  <c r="AI5" i="17"/>
  <c r="BW2" i="17"/>
  <c r="AV2" i="17"/>
  <c r="BT11" i="17"/>
  <c r="AR11" i="17"/>
  <c r="BK9" i="17"/>
  <c r="BT2" i="17"/>
  <c r="AU2" i="17"/>
  <c r="N2" i="17"/>
  <c r="BI9" i="17"/>
  <c r="BR2" i="17"/>
  <c r="AN2" i="17"/>
  <c r="CE5" i="17"/>
  <c r="BO2" i="17"/>
  <c r="BO11" i="17"/>
  <c r="AI11" i="17"/>
  <c r="CA9" i="17"/>
  <c r="V9" i="17"/>
  <c r="CA5" i="17"/>
  <c r="AA5" i="17"/>
  <c r="AI2" i="17"/>
  <c r="AG11" i="17"/>
  <c r="BY9" i="17"/>
  <c r="AV9" i="17"/>
  <c r="CB5" i="17"/>
  <c r="Y5" i="17"/>
  <c r="BY5" i="17"/>
  <c r="CB2" i="17"/>
  <c r="AF2" i="17"/>
  <c r="AX2" i="17"/>
  <c r="BG5" i="17"/>
  <c r="BO9" i="17"/>
  <c r="AI9" i="17"/>
  <c r="S9" i="17"/>
  <c r="T9" i="17" s="1"/>
  <c r="AP5" i="17"/>
  <c r="BF5" i="17" s="1"/>
  <c r="AT2" i="17"/>
  <c r="AD2" i="17"/>
  <c r="AX11" i="17"/>
  <c r="AX9" i="17"/>
  <c r="R9" i="17"/>
  <c r="AL9" i="17" s="1"/>
  <c r="BD5" i="17"/>
  <c r="BE5" i="17" s="1"/>
  <c r="AB2" i="17"/>
  <c r="AV11" i="17"/>
  <c r="CB9" i="17"/>
  <c r="AF9" i="17"/>
  <c r="AM5" i="17"/>
  <c r="BG2" i="17"/>
  <c r="O11" i="17"/>
  <c r="O9" i="17"/>
  <c r="V5" i="17"/>
  <c r="AP2" i="17"/>
  <c r="AT9" i="17"/>
  <c r="AD9" i="17"/>
  <c r="U5" i="17"/>
  <c r="S5" i="17"/>
  <c r="T5" i="17" s="1"/>
  <c r="AM2" i="17"/>
  <c r="BG11" i="17"/>
  <c r="BW9" i="17"/>
  <c r="BG9" i="17"/>
  <c r="AA9" i="17"/>
  <c r="AP11" i="17"/>
  <c r="AP9" i="17"/>
  <c r="AV5" i="17"/>
  <c r="AJ2" i="17"/>
  <c r="BD11" i="17"/>
  <c r="BE11" i="17" s="1"/>
  <c r="BD9" i="17"/>
  <c r="BE9" i="17" s="1"/>
  <c r="AW6" i="17" l="1"/>
  <c r="CO3" i="15"/>
  <c r="CL3" i="15"/>
  <c r="CU3" i="15"/>
  <c r="CW3" i="15"/>
  <c r="AC3" i="15"/>
  <c r="W6" i="17"/>
  <c r="AW8" i="17"/>
  <c r="T10" i="17"/>
  <c r="AW4" i="17"/>
  <c r="BF4" i="17"/>
  <c r="AW10" i="17"/>
  <c r="W8" i="17"/>
  <c r="BF8" i="17"/>
  <c r="BF6" i="17"/>
  <c r="BF10" i="17"/>
  <c r="T4" i="17"/>
  <c r="AW3" i="17"/>
  <c r="W3" i="17"/>
  <c r="T2" i="17"/>
  <c r="DV11" i="10"/>
  <c r="CK11" i="10"/>
  <c r="CA11" i="10"/>
  <c r="BW11" i="10"/>
  <c r="CN11" i="10"/>
  <c r="CO11" i="10" s="1"/>
  <c r="AG11" i="10"/>
  <c r="AF11" i="10"/>
  <c r="BF9" i="17"/>
  <c r="AW11" i="17"/>
  <c r="T11" i="17"/>
  <c r="AW2" i="17"/>
  <c r="BF2" i="17"/>
  <c r="BF11" i="17"/>
  <c r="AW5" i="17"/>
  <c r="AW9" i="17"/>
  <c r="W9" i="17"/>
  <c r="W5" i="17"/>
  <c r="B11" i="15" l="1"/>
  <c r="C11" i="15"/>
  <c r="D11" i="15"/>
  <c r="E11" i="15"/>
  <c r="F11" i="15"/>
  <c r="G11" i="15"/>
  <c r="H11" i="15"/>
  <c r="J11" i="15"/>
  <c r="DV11" i="15" s="1"/>
  <c r="K11" i="15"/>
  <c r="L11" i="15" s="1"/>
  <c r="M11" i="15"/>
  <c r="N11" i="15"/>
  <c r="O11" i="15"/>
  <c r="Q11" i="15"/>
  <c r="R11" i="15"/>
  <c r="W11" i="15"/>
  <c r="X11" i="15" s="1"/>
  <c r="Z11" i="15"/>
  <c r="DO11" i="15" s="1"/>
  <c r="AD11" i="15"/>
  <c r="AF11" i="15"/>
  <c r="AH11" i="15"/>
  <c r="AK11" i="15"/>
  <c r="AL11" i="15"/>
  <c r="AM11" i="15"/>
  <c r="AN11" i="15"/>
  <c r="AO11" i="15"/>
  <c r="AP11" i="15"/>
  <c r="AT11" i="15"/>
  <c r="AV11" i="15"/>
  <c r="AW11" i="15"/>
  <c r="BA11" i="15"/>
  <c r="BB11" i="15"/>
  <c r="BD11" i="15"/>
  <c r="BG11" i="15"/>
  <c r="BI11" i="15"/>
  <c r="BK11" i="15"/>
  <c r="BO11" i="15"/>
  <c r="BP11" i="15"/>
  <c r="BQ11" i="15"/>
  <c r="BS11" i="15"/>
  <c r="BU11" i="15"/>
  <c r="BX11" i="15"/>
  <c r="BZ11" i="15"/>
  <c r="CB11" i="15"/>
  <c r="CC11" i="15" s="1"/>
  <c r="CD11" i="15"/>
  <c r="CG11" i="15"/>
  <c r="CH11" i="15"/>
  <c r="CM11" i="15"/>
  <c r="CP11" i="15"/>
  <c r="CR11" i="15"/>
  <c r="CX11" i="15"/>
  <c r="CZ11" i="15"/>
  <c r="DB11" i="15"/>
  <c r="DE11" i="15"/>
  <c r="DF11" i="15"/>
  <c r="DH11" i="15"/>
  <c r="DK11" i="15"/>
  <c r="DM11" i="15"/>
  <c r="DN11" i="15"/>
  <c r="DQ11" i="15"/>
  <c r="DS11" i="15"/>
  <c r="DT11" i="15"/>
  <c r="DW11" i="15"/>
  <c r="DX11" i="15"/>
  <c r="DZ11" i="15" s="1"/>
  <c r="EB11" i="15"/>
  <c r="EC11" i="15"/>
  <c r="EE11" i="15"/>
  <c r="EG11" i="15"/>
  <c r="AH3" i="14"/>
  <c r="AH4" i="14"/>
  <c r="AH5" i="14"/>
  <c r="AH6" i="14"/>
  <c r="AH7" i="14"/>
  <c r="AH8" i="14"/>
  <c r="AH9" i="14"/>
  <c r="AH10" i="14"/>
  <c r="AH11" i="14"/>
  <c r="AH2" i="14"/>
  <c r="AE3" i="14"/>
  <c r="AE4" i="14"/>
  <c r="AE5" i="14"/>
  <c r="AE6" i="14"/>
  <c r="AE7" i="14"/>
  <c r="AE8" i="14"/>
  <c r="AE9" i="14"/>
  <c r="AE10" i="14"/>
  <c r="AE11" i="14"/>
  <c r="AE2" i="14"/>
  <c r="W3" i="14"/>
  <c r="X3" i="14" s="1"/>
  <c r="Y3" i="14"/>
  <c r="Z3" i="14" s="1"/>
  <c r="AA3" i="14"/>
  <c r="AB3" i="14" s="1"/>
  <c r="AC3" i="14"/>
  <c r="AD3" i="14"/>
  <c r="AF3" i="14"/>
  <c r="AG3" i="14"/>
  <c r="W4" i="14"/>
  <c r="X4" i="14"/>
  <c r="Y4" i="14"/>
  <c r="Z4" i="14" s="1"/>
  <c r="AA4" i="14"/>
  <c r="AB4" i="14" s="1"/>
  <c r="AC4" i="14"/>
  <c r="AD4" i="14"/>
  <c r="AF4" i="14"/>
  <c r="AG4" i="14"/>
  <c r="W5" i="14"/>
  <c r="X5" i="14"/>
  <c r="Y5" i="14"/>
  <c r="Z5" i="14"/>
  <c r="AA5" i="14"/>
  <c r="AB5" i="14"/>
  <c r="AC5" i="14"/>
  <c r="AD5" i="14"/>
  <c r="AF5" i="14"/>
  <c r="AG5" i="14"/>
  <c r="W6" i="14"/>
  <c r="X6" i="14"/>
  <c r="Y6" i="14"/>
  <c r="Z6" i="14" s="1"/>
  <c r="AA6" i="14"/>
  <c r="AB6" i="14" s="1"/>
  <c r="AC6" i="14"/>
  <c r="AD6" i="14"/>
  <c r="AF6" i="14"/>
  <c r="AG6" i="14"/>
  <c r="W7" i="14"/>
  <c r="X7" i="14"/>
  <c r="Y7" i="14"/>
  <c r="Z7" i="14"/>
  <c r="AA7" i="14"/>
  <c r="AB7" i="14" s="1"/>
  <c r="AC7" i="14"/>
  <c r="AD7" i="14" s="1"/>
  <c r="AF7" i="14"/>
  <c r="AG7" i="14"/>
  <c r="W8" i="14"/>
  <c r="X8" i="14"/>
  <c r="Y8" i="14"/>
  <c r="Z8" i="14" s="1"/>
  <c r="AA8" i="14"/>
  <c r="AB8" i="14"/>
  <c r="AC8" i="14"/>
  <c r="AD8" i="14" s="1"/>
  <c r="AF8" i="14"/>
  <c r="AG8" i="14"/>
  <c r="W9" i="14"/>
  <c r="X9" i="14" s="1"/>
  <c r="Y9" i="14"/>
  <c r="Z9" i="14" s="1"/>
  <c r="AA9" i="14"/>
  <c r="AB9" i="14"/>
  <c r="AC9" i="14"/>
  <c r="AD9" i="14"/>
  <c r="AF9" i="14"/>
  <c r="AG9" i="14"/>
  <c r="W10" i="14"/>
  <c r="X10" i="14" s="1"/>
  <c r="Y10" i="14"/>
  <c r="Z10" i="14" s="1"/>
  <c r="AA10" i="14"/>
  <c r="AB10" i="14"/>
  <c r="AC10" i="14"/>
  <c r="AD10" i="14" s="1"/>
  <c r="AF10" i="14"/>
  <c r="AG10" i="14"/>
  <c r="W11" i="14"/>
  <c r="X11" i="14"/>
  <c r="Y11" i="14"/>
  <c r="Z11" i="14"/>
  <c r="AA11" i="14"/>
  <c r="AB11" i="14"/>
  <c r="AC11" i="14"/>
  <c r="AD11" i="14"/>
  <c r="AF11" i="14"/>
  <c r="AG11" i="14"/>
  <c r="AG2" i="14"/>
  <c r="AF2" i="14"/>
  <c r="AC2" i="14"/>
  <c r="AA2" i="14"/>
  <c r="Y2" i="14"/>
  <c r="W2" i="14"/>
  <c r="DT9" i="15"/>
  <c r="DT5" i="15"/>
  <c r="DT4" i="15"/>
  <c r="DT8" i="15"/>
  <c r="DT6" i="15"/>
  <c r="DT7" i="15"/>
  <c r="DT2" i="15"/>
  <c r="DT10" i="15"/>
  <c r="DS10" i="15"/>
  <c r="B4" i="15"/>
  <c r="C4" i="15"/>
  <c r="D4" i="15"/>
  <c r="E4" i="15"/>
  <c r="F4" i="15"/>
  <c r="G4" i="15"/>
  <c r="H4" i="15"/>
  <c r="J4" i="15"/>
  <c r="DV4" i="15" s="1"/>
  <c r="K4" i="15"/>
  <c r="L4" i="15" s="1"/>
  <c r="M4" i="15"/>
  <c r="N4" i="15"/>
  <c r="O4" i="15"/>
  <c r="Q4" i="15"/>
  <c r="R4" i="15"/>
  <c r="W4" i="15"/>
  <c r="X4" i="15" s="1"/>
  <c r="Z4" i="15"/>
  <c r="AD4" i="15"/>
  <c r="AF4" i="15"/>
  <c r="AH4" i="15"/>
  <c r="AK4" i="15"/>
  <c r="AL4" i="15"/>
  <c r="AM4" i="15"/>
  <c r="AN4" i="15"/>
  <c r="AO4" i="15"/>
  <c r="AP4" i="15"/>
  <c r="AT4" i="15"/>
  <c r="AV4" i="15"/>
  <c r="AW4" i="15"/>
  <c r="BA4" i="15"/>
  <c r="BB4" i="15"/>
  <c r="BD4" i="15"/>
  <c r="BG4" i="15"/>
  <c r="BI4" i="15"/>
  <c r="BK4" i="15"/>
  <c r="BO4" i="15"/>
  <c r="BP4" i="15"/>
  <c r="BQ4" i="15"/>
  <c r="BS4" i="15"/>
  <c r="BU4" i="15"/>
  <c r="BX4" i="15"/>
  <c r="BZ4" i="15"/>
  <c r="CB4" i="15"/>
  <c r="CD4" i="15"/>
  <c r="CG4" i="15"/>
  <c r="CH4" i="15"/>
  <c r="CM4" i="15"/>
  <c r="CP4" i="15"/>
  <c r="CR4" i="15"/>
  <c r="CX4" i="15"/>
  <c r="CZ4" i="15"/>
  <c r="DB4" i="15"/>
  <c r="DE4" i="15"/>
  <c r="DF4" i="15"/>
  <c r="DH4" i="15"/>
  <c r="DK4" i="15"/>
  <c r="DM4" i="15"/>
  <c r="DN4" i="15"/>
  <c r="DQ4" i="15"/>
  <c r="DS4" i="15"/>
  <c r="DW4" i="15"/>
  <c r="DX4" i="15"/>
  <c r="EB4" i="15"/>
  <c r="EC4" i="15"/>
  <c r="EE4" i="15"/>
  <c r="EG4" i="15"/>
  <c r="B8" i="15"/>
  <c r="C8" i="15"/>
  <c r="D8" i="15"/>
  <c r="E8" i="15"/>
  <c r="F8" i="15"/>
  <c r="G8" i="15"/>
  <c r="H8" i="15"/>
  <c r="J8" i="15"/>
  <c r="BC8" i="15" s="1"/>
  <c r="K8" i="15"/>
  <c r="L8" i="15" s="1"/>
  <c r="M8" i="15"/>
  <c r="N8" i="15"/>
  <c r="O8" i="15"/>
  <c r="Q8" i="15"/>
  <c r="R8" i="15"/>
  <c r="W8" i="15"/>
  <c r="Z8" i="15"/>
  <c r="AD8" i="15"/>
  <c r="AF8" i="15"/>
  <c r="AH8" i="15"/>
  <c r="AK8" i="15"/>
  <c r="AL8" i="15"/>
  <c r="AM8" i="15"/>
  <c r="AN8" i="15"/>
  <c r="AO8" i="15"/>
  <c r="AP8" i="15"/>
  <c r="AT8" i="15"/>
  <c r="AV8" i="15"/>
  <c r="AW8" i="15"/>
  <c r="BA8" i="15"/>
  <c r="BB8" i="15"/>
  <c r="BD8" i="15"/>
  <c r="BG8" i="15"/>
  <c r="BI8" i="15"/>
  <c r="BK8" i="15"/>
  <c r="BO8" i="15"/>
  <c r="BP8" i="15"/>
  <c r="BQ8" i="15"/>
  <c r="BS8" i="15"/>
  <c r="BU8" i="15"/>
  <c r="BX8" i="15"/>
  <c r="BZ8" i="15"/>
  <c r="CB8" i="15"/>
  <c r="CD8" i="15"/>
  <c r="CG8" i="15"/>
  <c r="CH8" i="15"/>
  <c r="CM8" i="15"/>
  <c r="CP8" i="15"/>
  <c r="CR8" i="15"/>
  <c r="CX8" i="15"/>
  <c r="CZ8" i="15"/>
  <c r="DB8" i="15"/>
  <c r="DE8" i="15"/>
  <c r="DF8" i="15"/>
  <c r="DH8" i="15"/>
  <c r="DK8" i="15"/>
  <c r="DM8" i="15"/>
  <c r="DN8" i="15"/>
  <c r="DQ8" i="15"/>
  <c r="DS8" i="15"/>
  <c r="DW8" i="15"/>
  <c r="DX8" i="15"/>
  <c r="DZ8" i="15" s="1"/>
  <c r="EB8" i="15"/>
  <c r="EC8" i="15"/>
  <c r="EE8" i="15"/>
  <c r="EG8" i="15"/>
  <c r="B6" i="15"/>
  <c r="C6" i="15"/>
  <c r="D6" i="15"/>
  <c r="E6" i="15"/>
  <c r="F6" i="15"/>
  <c r="G6" i="15"/>
  <c r="H6" i="15"/>
  <c r="J6" i="15"/>
  <c r="K6" i="15"/>
  <c r="L6" i="15" s="1"/>
  <c r="M6" i="15"/>
  <c r="N6" i="15"/>
  <c r="O6" i="15"/>
  <c r="Q6" i="15"/>
  <c r="R6" i="15"/>
  <c r="W6" i="15"/>
  <c r="X6" i="15" s="1"/>
  <c r="Z6" i="15"/>
  <c r="AD6" i="15"/>
  <c r="AF6" i="15"/>
  <c r="AH6" i="15"/>
  <c r="AK6" i="15"/>
  <c r="AL6" i="15"/>
  <c r="AM6" i="15"/>
  <c r="AN6" i="15"/>
  <c r="AO6" i="15"/>
  <c r="AP6" i="15"/>
  <c r="AT6" i="15"/>
  <c r="AV6" i="15"/>
  <c r="AW6" i="15"/>
  <c r="BA6" i="15"/>
  <c r="BB6" i="15"/>
  <c r="BD6" i="15"/>
  <c r="BG6" i="15"/>
  <c r="BI6" i="15"/>
  <c r="BK6" i="15"/>
  <c r="BO6" i="15"/>
  <c r="BP6" i="15"/>
  <c r="BQ6" i="15"/>
  <c r="BS6" i="15"/>
  <c r="BU6" i="15"/>
  <c r="BX6" i="15"/>
  <c r="BZ6" i="15"/>
  <c r="CB6" i="15"/>
  <c r="CD6" i="15"/>
  <c r="CG6" i="15"/>
  <c r="CH6" i="15"/>
  <c r="CM6" i="15"/>
  <c r="CP6" i="15"/>
  <c r="CR6" i="15"/>
  <c r="CX6" i="15"/>
  <c r="CZ6" i="15"/>
  <c r="DB6" i="15"/>
  <c r="DE6" i="15"/>
  <c r="DF6" i="15"/>
  <c r="DH6" i="15"/>
  <c r="DK6" i="15"/>
  <c r="DM6" i="15"/>
  <c r="DN6" i="15"/>
  <c r="DQ6" i="15"/>
  <c r="DS6" i="15"/>
  <c r="DW6" i="15"/>
  <c r="DX6" i="15"/>
  <c r="EB6" i="15"/>
  <c r="EC6" i="15"/>
  <c r="EE6" i="15"/>
  <c r="EG6" i="15"/>
  <c r="B7" i="15"/>
  <c r="C7" i="15"/>
  <c r="D7" i="15"/>
  <c r="E7" i="15"/>
  <c r="F7" i="15"/>
  <c r="G7" i="15"/>
  <c r="H7" i="15"/>
  <c r="J7" i="15"/>
  <c r="K7" i="15"/>
  <c r="L7" i="15" s="1"/>
  <c r="M7" i="15"/>
  <c r="N7" i="15"/>
  <c r="O7" i="15"/>
  <c r="Q7" i="15"/>
  <c r="R7" i="15"/>
  <c r="W7" i="15"/>
  <c r="AR7" i="15" s="1"/>
  <c r="Z7" i="15"/>
  <c r="DO7" i="15" s="1"/>
  <c r="AD7" i="15"/>
  <c r="AF7" i="15"/>
  <c r="AH7" i="15"/>
  <c r="AK7" i="15"/>
  <c r="AL7" i="15"/>
  <c r="AM7" i="15"/>
  <c r="AN7" i="15"/>
  <c r="AO7" i="15"/>
  <c r="AP7" i="15"/>
  <c r="AT7" i="15"/>
  <c r="AV7" i="15"/>
  <c r="AW7" i="15"/>
  <c r="BA7" i="15"/>
  <c r="BB7" i="15"/>
  <c r="BD7" i="15"/>
  <c r="BG7" i="15"/>
  <c r="BI7" i="15"/>
  <c r="BK7" i="15"/>
  <c r="BO7" i="15"/>
  <c r="BP7" i="15"/>
  <c r="BQ7" i="15"/>
  <c r="BS7" i="15"/>
  <c r="BU7" i="15"/>
  <c r="BX7" i="15"/>
  <c r="BZ7" i="15"/>
  <c r="CB7" i="15"/>
  <c r="CD7" i="15"/>
  <c r="CG7" i="15"/>
  <c r="CH7" i="15"/>
  <c r="CM7" i="15"/>
  <c r="CP7" i="15"/>
  <c r="CR7" i="15"/>
  <c r="CX7" i="15"/>
  <c r="CZ7" i="15"/>
  <c r="DB7" i="15"/>
  <c r="DE7" i="15"/>
  <c r="DF7" i="15"/>
  <c r="DH7" i="15"/>
  <c r="DK7" i="15"/>
  <c r="DM7" i="15"/>
  <c r="DN7" i="15"/>
  <c r="DQ7" i="15"/>
  <c r="DS7" i="15"/>
  <c r="DW7" i="15"/>
  <c r="DX7" i="15"/>
  <c r="DZ7" i="15" s="1"/>
  <c r="EB7" i="15"/>
  <c r="EC7" i="15"/>
  <c r="EE7" i="15"/>
  <c r="EG7" i="15"/>
  <c r="B2" i="15"/>
  <c r="C2" i="15"/>
  <c r="D2" i="15"/>
  <c r="E2" i="15"/>
  <c r="F2" i="15"/>
  <c r="G2" i="15"/>
  <c r="H2" i="15"/>
  <c r="J2" i="15"/>
  <c r="K2" i="15"/>
  <c r="L2" i="15" s="1"/>
  <c r="M2" i="15"/>
  <c r="N2" i="15"/>
  <c r="O2" i="15"/>
  <c r="Q2" i="15"/>
  <c r="R2" i="15"/>
  <c r="W2" i="15"/>
  <c r="X2" i="15" s="1"/>
  <c r="Z2" i="15"/>
  <c r="DO2" i="15" s="1"/>
  <c r="AD2" i="15"/>
  <c r="AF2" i="15"/>
  <c r="AH2" i="15"/>
  <c r="AK2" i="15"/>
  <c r="AL2" i="15"/>
  <c r="AM2" i="15"/>
  <c r="AN2" i="15"/>
  <c r="AO2" i="15"/>
  <c r="AP2" i="15"/>
  <c r="AT2" i="15"/>
  <c r="AV2" i="15"/>
  <c r="AW2" i="15"/>
  <c r="BA2" i="15"/>
  <c r="BB2" i="15"/>
  <c r="BD2" i="15"/>
  <c r="BG2" i="15"/>
  <c r="BI2" i="15"/>
  <c r="BK2" i="15"/>
  <c r="BO2" i="15"/>
  <c r="BP2" i="15"/>
  <c r="BQ2" i="15"/>
  <c r="BS2" i="15"/>
  <c r="BU2" i="15"/>
  <c r="BX2" i="15"/>
  <c r="BZ2" i="15"/>
  <c r="CB2" i="15"/>
  <c r="CD2" i="15"/>
  <c r="CG2" i="15"/>
  <c r="CH2" i="15"/>
  <c r="CM2" i="15"/>
  <c r="CP2" i="15"/>
  <c r="CR2" i="15"/>
  <c r="CX2" i="15"/>
  <c r="CZ2" i="15"/>
  <c r="DB2" i="15"/>
  <c r="DE2" i="15"/>
  <c r="DF2" i="15"/>
  <c r="DH2" i="15"/>
  <c r="DK2" i="15"/>
  <c r="DM2" i="15"/>
  <c r="DN2" i="15"/>
  <c r="DQ2" i="15"/>
  <c r="DS2" i="15"/>
  <c r="DW2" i="15"/>
  <c r="DX2" i="15"/>
  <c r="DZ2" i="15" s="1"/>
  <c r="EB2" i="15"/>
  <c r="EC2" i="15"/>
  <c r="EE2" i="15"/>
  <c r="EG2" i="15"/>
  <c r="A5" i="16"/>
  <c r="A6" i="16"/>
  <c r="A7" i="16"/>
  <c r="A8" i="16"/>
  <c r="A9" i="16"/>
  <c r="A10" i="16"/>
  <c r="A2" i="11"/>
  <c r="A3" i="11"/>
  <c r="K11" i="10" l="1"/>
  <c r="K5" i="17"/>
  <c r="K11" i="17"/>
  <c r="K2" i="17"/>
  <c r="K9" i="17"/>
  <c r="CK11" i="17"/>
  <c r="CK5" i="17"/>
  <c r="CK2" i="17"/>
  <c r="CK9" i="17"/>
  <c r="BY2" i="15"/>
  <c r="DL11" i="15"/>
  <c r="AJ11" i="15"/>
  <c r="DC11" i="15"/>
  <c r="AG11" i="15"/>
  <c r="BL11" i="15"/>
  <c r="EA11" i="15"/>
  <c r="CS11" i="15"/>
  <c r="BJ11" i="15"/>
  <c r="CQ11" i="15"/>
  <c r="BE11" i="15"/>
  <c r="DU11" i="15"/>
  <c r="CK11" i="15"/>
  <c r="CO11" i="15" s="1"/>
  <c r="DR11" i="15"/>
  <c r="BH11" i="15"/>
  <c r="CE11" i="15"/>
  <c r="BC11" i="15"/>
  <c r="DI4" i="15"/>
  <c r="DJ4" i="15" s="1"/>
  <c r="CA11" i="15"/>
  <c r="DG11" i="15"/>
  <c r="U11" i="15"/>
  <c r="CJ4" i="15"/>
  <c r="DD11" i="15"/>
  <c r="BY11" i="15"/>
  <c r="AU11" i="15"/>
  <c r="P4" i="15"/>
  <c r="P11" i="15"/>
  <c r="DA11" i="15"/>
  <c r="BT11" i="15"/>
  <c r="CY11" i="15"/>
  <c r="BR11" i="15"/>
  <c r="BF11" i="15"/>
  <c r="BW11" i="15"/>
  <c r="DP11" i="15"/>
  <c r="CV11" i="15"/>
  <c r="AB11" i="15"/>
  <c r="Y11" i="15"/>
  <c r="AS11" i="15"/>
  <c r="DY11" i="15"/>
  <c r="CF11" i="15"/>
  <c r="V11" i="15"/>
  <c r="S11" i="15"/>
  <c r="AQ11" i="15" s="1"/>
  <c r="CT11" i="15"/>
  <c r="AX11" i="15"/>
  <c r="AE11" i="15"/>
  <c r="EF11" i="15"/>
  <c r="BV11" i="15"/>
  <c r="DR4" i="15"/>
  <c r="ED11" i="15"/>
  <c r="AA11" i="15"/>
  <c r="DI11" i="15"/>
  <c r="DJ11" i="15" s="1"/>
  <c r="AR11" i="15"/>
  <c r="CI11" i="15"/>
  <c r="CN11" i="15"/>
  <c r="CJ11" i="15"/>
  <c r="AZ11" i="15"/>
  <c r="T11" i="15"/>
  <c r="AY11" i="15"/>
  <c r="AI11" i="15"/>
  <c r="BM11" i="15"/>
  <c r="BN11" i="15" s="1"/>
  <c r="DI6" i="15"/>
  <c r="DJ6" i="15" s="1"/>
  <c r="DI8" i="15"/>
  <c r="DJ8" i="15" s="1"/>
  <c r="AJ4" i="15"/>
  <c r="BW7" i="15"/>
  <c r="DI2" i="15"/>
  <c r="DJ2" i="15" s="1"/>
  <c r="DI7" i="15"/>
  <c r="DJ7" i="15" s="1"/>
  <c r="DP4" i="15"/>
  <c r="CF4" i="15"/>
  <c r="AX2" i="15"/>
  <c r="S6" i="15"/>
  <c r="AQ6" i="15" s="1"/>
  <c r="BR4" i="15"/>
  <c r="AZ4" i="15"/>
  <c r="BR7" i="15"/>
  <c r="DY4" i="15"/>
  <c r="CC7" i="15"/>
  <c r="AZ8" i="15"/>
  <c r="BM8" i="15"/>
  <c r="BN8" i="15" s="1"/>
  <c r="AJ6" i="15"/>
  <c r="AX8" i="15"/>
  <c r="CF6" i="15"/>
  <c r="BR8" i="15"/>
  <c r="CE2" i="15"/>
  <c r="AU2" i="15"/>
  <c r="DD7" i="15"/>
  <c r="CA2" i="15"/>
  <c r="DC7" i="15"/>
  <c r="ED8" i="15"/>
  <c r="BJ8" i="15"/>
  <c r="CY7" i="15"/>
  <c r="EA7" i="15"/>
  <c r="DG4" i="15"/>
  <c r="DY7" i="15"/>
  <c r="CQ7" i="15"/>
  <c r="BC7" i="15"/>
  <c r="EF4" i="15"/>
  <c r="DD4" i="15"/>
  <c r="DD2" i="15"/>
  <c r="AJ2" i="15"/>
  <c r="U7" i="15"/>
  <c r="EA4" i="15"/>
  <c r="CY4" i="15"/>
  <c r="CF7" i="15"/>
  <c r="BF6" i="15"/>
  <c r="CV2" i="15"/>
  <c r="BH2" i="15"/>
  <c r="DR7" i="15"/>
  <c r="V4" i="15"/>
  <c r="BF2" i="15"/>
  <c r="S2" i="15"/>
  <c r="AQ2" i="15" s="1"/>
  <c r="AZ6" i="15"/>
  <c r="EA8" i="15"/>
  <c r="CI2" i="15"/>
  <c r="CT7" i="15"/>
  <c r="CS7" i="15"/>
  <c r="AI7" i="15"/>
  <c r="AR6" i="15"/>
  <c r="CK8" i="15"/>
  <c r="CL8" i="15" s="1"/>
  <c r="AE8" i="15"/>
  <c r="DU7" i="15"/>
  <c r="BH7" i="15"/>
  <c r="CJ8" i="15"/>
  <c r="AA8" i="15"/>
  <c r="AG2" i="15"/>
  <c r="AY8" i="15"/>
  <c r="DU4" i="15"/>
  <c r="CS4" i="15"/>
  <c r="BE6" i="15"/>
  <c r="CQ4" i="15"/>
  <c r="BJ4" i="15"/>
  <c r="AI4" i="15"/>
  <c r="BF7" i="15"/>
  <c r="X7" i="15"/>
  <c r="Y7" i="15" s="1"/>
  <c r="CA8" i="15"/>
  <c r="CN4" i="15"/>
  <c r="BH4" i="15"/>
  <c r="BR2" i="15"/>
  <c r="CK4" i="15"/>
  <c r="CL4" i="15" s="1"/>
  <c r="BC4" i="15"/>
  <c r="DL7" i="15"/>
  <c r="AZ7" i="15"/>
  <c r="CY6" i="15"/>
  <c r="BE4" i="15"/>
  <c r="DG8" i="15"/>
  <c r="BF4" i="15"/>
  <c r="EF7" i="15"/>
  <c r="V7" i="15"/>
  <c r="DD8" i="15"/>
  <c r="CV6" i="15"/>
  <c r="AR2" i="15"/>
  <c r="T8" i="15"/>
  <c r="DY8" i="15"/>
  <c r="DA8" i="15"/>
  <c r="U8" i="15"/>
  <c r="CY8" i="15"/>
  <c r="AU8" i="15"/>
  <c r="CS8" i="15"/>
  <c r="AG4" i="15"/>
  <c r="DV8" i="15"/>
  <c r="CQ8" i="15"/>
  <c r="P8" i="15"/>
  <c r="DL4" i="15"/>
  <c r="CE4" i="15"/>
  <c r="AE4" i="15"/>
  <c r="DA2" i="15"/>
  <c r="BL2" i="15"/>
  <c r="AJ7" i="15"/>
  <c r="AX6" i="15"/>
  <c r="U6" i="15"/>
  <c r="BL8" i="15"/>
  <c r="ED4" i="15"/>
  <c r="CC4" i="15"/>
  <c r="AY4" i="15"/>
  <c r="V6" i="15"/>
  <c r="CA4" i="15"/>
  <c r="AA4" i="15"/>
  <c r="DO8" i="15"/>
  <c r="BY4" i="15"/>
  <c r="CQ2" i="15"/>
  <c r="BR6" i="15"/>
  <c r="BH8" i="15"/>
  <c r="AI8" i="15"/>
  <c r="DC4" i="15"/>
  <c r="AU4" i="15"/>
  <c r="U4" i="15"/>
  <c r="BE2" i="15"/>
  <c r="AY7" i="15"/>
  <c r="CE8" i="15"/>
  <c r="DA4" i="15"/>
  <c r="BV4" i="15"/>
  <c r="S4" i="15"/>
  <c r="AQ4" i="15" s="1"/>
  <c r="CJ2" i="15"/>
  <c r="BY7" i="15"/>
  <c r="AX7" i="15"/>
  <c r="EF8" i="15"/>
  <c r="DL8" i="15"/>
  <c r="BT4" i="15"/>
  <c r="Y2" i="15"/>
  <c r="AB2" i="15"/>
  <c r="AS2" i="15"/>
  <c r="DG2" i="15"/>
  <c r="AE2" i="15"/>
  <c r="EA2" i="15"/>
  <c r="DC2" i="15"/>
  <c r="BM2" i="15"/>
  <c r="BN2" i="15" s="1"/>
  <c r="CF2" i="15"/>
  <c r="AA2" i="15"/>
  <c r="DV2" i="15"/>
  <c r="DU2" i="15"/>
  <c r="BC2" i="15"/>
  <c r="DR2" i="15"/>
  <c r="T2" i="15"/>
  <c r="EF6" i="15"/>
  <c r="AY6" i="15"/>
  <c r="CE6" i="15"/>
  <c r="DP2" i="15"/>
  <c r="CT2" i="15"/>
  <c r="U2" i="15"/>
  <c r="BV2" i="15"/>
  <c r="AZ2" i="15"/>
  <c r="DL2" i="15"/>
  <c r="CN2" i="15"/>
  <c r="BT2" i="15"/>
  <c r="AY2" i="15"/>
  <c r="AI2" i="15"/>
  <c r="EF2" i="15"/>
  <c r="P2" i="15"/>
  <c r="CK2" i="15"/>
  <c r="CU2" i="15" s="1"/>
  <c r="BH6" i="15"/>
  <c r="CT8" i="15"/>
  <c r="DR6" i="15"/>
  <c r="CI6" i="15"/>
  <c r="DP7" i="15"/>
  <c r="BJ7" i="15"/>
  <c r="DL6" i="15"/>
  <c r="BL4" i="15"/>
  <c r="BM4" i="15"/>
  <c r="BN4" i="15" s="1"/>
  <c r="DG6" i="15"/>
  <c r="DD6" i="15"/>
  <c r="BY6" i="15"/>
  <c r="BE7" i="15"/>
  <c r="BY8" i="15"/>
  <c r="DG7" i="15"/>
  <c r="DC8" i="15"/>
  <c r="BE8" i="15"/>
  <c r="AJ8" i="15"/>
  <c r="AU6" i="15"/>
  <c r="CC8" i="15"/>
  <c r="BF8" i="15"/>
  <c r="AG8" i="15"/>
  <c r="AA7" i="15"/>
  <c r="ED6" i="15"/>
  <c r="EA6" i="15"/>
  <c r="BV7" i="15"/>
  <c r="DA7" i="15"/>
  <c r="BL6" i="15"/>
  <c r="DR8" i="15"/>
  <c r="CV8" i="15"/>
  <c r="BT7" i="15"/>
  <c r="BM6" i="15"/>
  <c r="BN6" i="15" s="1"/>
  <c r="DP8" i="15"/>
  <c r="BT8" i="15"/>
  <c r="V8" i="15"/>
  <c r="CI4" i="15"/>
  <c r="T4" i="15"/>
  <c r="CV4" i="15"/>
  <c r="DO4" i="15"/>
  <c r="CT4" i="15"/>
  <c r="DC6" i="15"/>
  <c r="BW6" i="15"/>
  <c r="Y6" i="15"/>
  <c r="CN8" i="15"/>
  <c r="S8" i="15"/>
  <c r="AQ8" i="15" s="1"/>
  <c r="AX4" i="15"/>
  <c r="DZ4" i="15"/>
  <c r="CF8" i="15"/>
  <c r="BJ2" i="15"/>
  <c r="AA6" i="15"/>
  <c r="DP6" i="15"/>
  <c r="BW2" i="15"/>
  <c r="AS6" i="15"/>
  <c r="AB6" i="15"/>
  <c r="CY2" i="15"/>
  <c r="ED2" i="15"/>
  <c r="V2" i="15"/>
  <c r="S7" i="15"/>
  <c r="AQ7" i="15" s="1"/>
  <c r="T7" i="15"/>
  <c r="CQ6" i="15"/>
  <c r="BJ6" i="15"/>
  <c r="CV7" i="15"/>
  <c r="CN7" i="15"/>
  <c r="DO6" i="15"/>
  <c r="CI7" i="15"/>
  <c r="CJ7" i="15"/>
  <c r="DY2" i="15"/>
  <c r="CS2" i="15"/>
  <c r="CC2" i="15"/>
  <c r="AE6" i="15"/>
  <c r="AR8" i="15"/>
  <c r="X8" i="15"/>
  <c r="CK7" i="15"/>
  <c r="CO7" i="15" s="1"/>
  <c r="CC6" i="15"/>
  <c r="CS6" i="15"/>
  <c r="CA6" i="15"/>
  <c r="AG7" i="15"/>
  <c r="BC6" i="15"/>
  <c r="T6" i="15"/>
  <c r="P7" i="15"/>
  <c r="DY6" i="15"/>
  <c r="CN6" i="15"/>
  <c r="BV6" i="15"/>
  <c r="BV8" i="15"/>
  <c r="BW8" i="15"/>
  <c r="ED7" i="15"/>
  <c r="CE7" i="15"/>
  <c r="BM7" i="15"/>
  <c r="BN7" i="15" s="1"/>
  <c r="AU7" i="15"/>
  <c r="DV6" i="15"/>
  <c r="BT6" i="15"/>
  <c r="AI6" i="15"/>
  <c r="DU6" i="15"/>
  <c r="CK6" i="15"/>
  <c r="CL6" i="15" s="1"/>
  <c r="DV7" i="15"/>
  <c r="AE7" i="15"/>
  <c r="BL7" i="15"/>
  <c r="CJ6" i="15"/>
  <c r="AG6" i="15"/>
  <c r="P6" i="15"/>
  <c r="CA7" i="15"/>
  <c r="DA6" i="15"/>
  <c r="CI8" i="15"/>
  <c r="DZ6" i="15"/>
  <c r="CT6" i="15"/>
  <c r="DU8" i="15"/>
  <c r="Y4" i="15"/>
  <c r="AB4" i="15"/>
  <c r="AS4" i="15"/>
  <c r="AR4" i="15"/>
  <c r="BW4" i="15"/>
  <c r="BX9" i="15"/>
  <c r="BX10" i="15"/>
  <c r="BX5" i="15"/>
  <c r="AF10" i="15"/>
  <c r="AF9" i="15"/>
  <c r="AF5" i="15"/>
  <c r="B5" i="15"/>
  <c r="C5" i="15"/>
  <c r="D5" i="15"/>
  <c r="E5" i="15"/>
  <c r="F5" i="15"/>
  <c r="G5" i="15"/>
  <c r="H5" i="15"/>
  <c r="J5" i="15"/>
  <c r="K5" i="15"/>
  <c r="L5" i="15" s="1"/>
  <c r="M5" i="15"/>
  <c r="N5" i="15"/>
  <c r="O5" i="15"/>
  <c r="Q5" i="15"/>
  <c r="R5" i="15"/>
  <c r="W5" i="15"/>
  <c r="X5" i="15" s="1"/>
  <c r="Z5" i="15"/>
  <c r="AD5" i="15"/>
  <c r="AH5" i="15"/>
  <c r="AK5" i="15"/>
  <c r="AL5" i="15"/>
  <c r="AM5" i="15"/>
  <c r="AN5" i="15"/>
  <c r="AO5" i="15"/>
  <c r="AP5" i="15"/>
  <c r="AT5" i="15"/>
  <c r="AV5" i="15"/>
  <c r="AW5" i="15"/>
  <c r="BA5" i="15"/>
  <c r="BB5" i="15"/>
  <c r="BD5" i="15"/>
  <c r="BG5" i="15"/>
  <c r="BI5" i="15"/>
  <c r="BK5" i="15"/>
  <c r="BO5" i="15"/>
  <c r="BP5" i="15"/>
  <c r="BQ5" i="15"/>
  <c r="BS5" i="15"/>
  <c r="BU5" i="15"/>
  <c r="BZ5" i="15"/>
  <c r="CB5" i="15"/>
  <c r="CD5" i="15"/>
  <c r="CG5" i="15"/>
  <c r="CH5" i="15"/>
  <c r="CM5" i="15"/>
  <c r="CP5" i="15"/>
  <c r="CR5" i="15"/>
  <c r="CX5" i="15"/>
  <c r="CZ5" i="15"/>
  <c r="DB5" i="15"/>
  <c r="DE5" i="15"/>
  <c r="DF5" i="15"/>
  <c r="DH5" i="15"/>
  <c r="DK5" i="15"/>
  <c r="DM5" i="15"/>
  <c r="DN5" i="15"/>
  <c r="DQ5" i="15"/>
  <c r="DS5" i="15"/>
  <c r="DW5" i="15"/>
  <c r="DX5" i="15"/>
  <c r="DZ5" i="15" s="1"/>
  <c r="EB5" i="15"/>
  <c r="EC5" i="15"/>
  <c r="EE5" i="15"/>
  <c r="EG5" i="15"/>
  <c r="B9" i="15"/>
  <c r="C9" i="15"/>
  <c r="D9" i="15"/>
  <c r="E9" i="15"/>
  <c r="F9" i="15"/>
  <c r="G9" i="15"/>
  <c r="H9" i="15"/>
  <c r="J9" i="15"/>
  <c r="K9" i="15"/>
  <c r="L9" i="15" s="1"/>
  <c r="M9" i="15"/>
  <c r="N9" i="15"/>
  <c r="O9" i="15"/>
  <c r="Q9" i="15"/>
  <c r="R9" i="15"/>
  <c r="W9" i="15"/>
  <c r="X9" i="15" s="1"/>
  <c r="Z9" i="15"/>
  <c r="AD9" i="15"/>
  <c r="AH9" i="15"/>
  <c r="AK9" i="15"/>
  <c r="AL9" i="15"/>
  <c r="AM9" i="15"/>
  <c r="AN9" i="15"/>
  <c r="AO9" i="15"/>
  <c r="AP9" i="15"/>
  <c r="AT9" i="15"/>
  <c r="AV9" i="15"/>
  <c r="AW9" i="15"/>
  <c r="BA9" i="15"/>
  <c r="BB9" i="15"/>
  <c r="BD9" i="15"/>
  <c r="BG9" i="15"/>
  <c r="BI9" i="15"/>
  <c r="BK9" i="15"/>
  <c r="BO9" i="15"/>
  <c r="BP9" i="15"/>
  <c r="BQ9" i="15"/>
  <c r="BS9" i="15"/>
  <c r="BU9" i="15"/>
  <c r="BZ9" i="15"/>
  <c r="CB9" i="15"/>
  <c r="CD9" i="15"/>
  <c r="CG9" i="15"/>
  <c r="CH9" i="15"/>
  <c r="CM9" i="15"/>
  <c r="CP9" i="15"/>
  <c r="CR9" i="15"/>
  <c r="CX9" i="15"/>
  <c r="CZ9" i="15"/>
  <c r="DB9" i="15"/>
  <c r="DE9" i="15"/>
  <c r="DF9" i="15"/>
  <c r="DH9" i="15"/>
  <c r="DK9" i="15"/>
  <c r="DM9" i="15"/>
  <c r="DN9" i="15"/>
  <c r="DQ9" i="15"/>
  <c r="DS9" i="15"/>
  <c r="DW9" i="15"/>
  <c r="DX9" i="15"/>
  <c r="DZ9" i="15" s="1"/>
  <c r="EB9" i="15"/>
  <c r="EC9" i="15"/>
  <c r="EE9" i="15"/>
  <c r="EG9" i="15"/>
  <c r="BD2" i="14"/>
  <c r="A2" i="16"/>
  <c r="A3" i="16"/>
  <c r="A4" i="16"/>
  <c r="C4" i="19"/>
  <c r="D4" i="19"/>
  <c r="E4" i="19"/>
  <c r="F4" i="19"/>
  <c r="H4" i="19"/>
  <c r="I4" i="19"/>
  <c r="L4" i="19"/>
  <c r="N4" i="19"/>
  <c r="Q4" i="19"/>
  <c r="S4" i="19"/>
  <c r="T4" i="19"/>
  <c r="U4" i="19"/>
  <c r="X4" i="19"/>
  <c r="C9" i="19"/>
  <c r="D9" i="19"/>
  <c r="E9" i="19"/>
  <c r="F9" i="19"/>
  <c r="H9" i="19"/>
  <c r="R9" i="19" s="1"/>
  <c r="I9" i="19"/>
  <c r="L9" i="19"/>
  <c r="N9" i="19"/>
  <c r="Q9" i="19"/>
  <c r="S9" i="19"/>
  <c r="T9" i="19"/>
  <c r="U9" i="19"/>
  <c r="X9" i="19"/>
  <c r="C2" i="19"/>
  <c r="D2" i="19"/>
  <c r="E2" i="19"/>
  <c r="F2" i="19"/>
  <c r="H2" i="19"/>
  <c r="I2" i="19"/>
  <c r="K2" i="19" s="1"/>
  <c r="L2" i="19"/>
  <c r="N2" i="19"/>
  <c r="Q2" i="19"/>
  <c r="S2" i="19"/>
  <c r="T2" i="19"/>
  <c r="U2" i="19"/>
  <c r="X2" i="19"/>
  <c r="C7" i="19"/>
  <c r="D7" i="19"/>
  <c r="E7" i="19"/>
  <c r="F7" i="19"/>
  <c r="H7" i="19"/>
  <c r="R7" i="19" s="1"/>
  <c r="I7" i="19"/>
  <c r="K7" i="19" s="1"/>
  <c r="L7" i="19"/>
  <c r="N7" i="19"/>
  <c r="Q7" i="19"/>
  <c r="S7" i="19"/>
  <c r="T7" i="19"/>
  <c r="U7" i="19"/>
  <c r="X7" i="19"/>
  <c r="C3" i="19"/>
  <c r="D3" i="19"/>
  <c r="E3" i="19"/>
  <c r="F3" i="19"/>
  <c r="H3" i="19"/>
  <c r="I3" i="19"/>
  <c r="K3" i="19" s="1"/>
  <c r="L3" i="19"/>
  <c r="N3" i="19"/>
  <c r="Q3" i="19"/>
  <c r="S3" i="19"/>
  <c r="T3" i="19"/>
  <c r="U3" i="19"/>
  <c r="X3" i="19"/>
  <c r="C5" i="19"/>
  <c r="D5" i="19"/>
  <c r="E5" i="19"/>
  <c r="F5" i="19"/>
  <c r="H5" i="19"/>
  <c r="R5" i="19" s="1"/>
  <c r="I5" i="19"/>
  <c r="L5" i="19"/>
  <c r="N5" i="19"/>
  <c r="Q5" i="19"/>
  <c r="S5" i="19"/>
  <c r="T5" i="19"/>
  <c r="U5" i="19"/>
  <c r="X5" i="19"/>
  <c r="B2" i="19"/>
  <c r="B3" i="19"/>
  <c r="B4" i="19"/>
  <c r="B5" i="19"/>
  <c r="B6" i="19"/>
  <c r="B7" i="19"/>
  <c r="B8" i="19"/>
  <c r="B9" i="19"/>
  <c r="C10" i="19"/>
  <c r="D10" i="19"/>
  <c r="E10" i="19"/>
  <c r="F10" i="19"/>
  <c r="H10" i="19"/>
  <c r="I10" i="19"/>
  <c r="L10" i="19"/>
  <c r="N10" i="19"/>
  <c r="Q10" i="19"/>
  <c r="S10" i="19"/>
  <c r="T10" i="19"/>
  <c r="U10" i="19"/>
  <c r="X10" i="19"/>
  <c r="B10" i="19"/>
  <c r="B11" i="19"/>
  <c r="C6" i="19"/>
  <c r="D6" i="19"/>
  <c r="E6" i="19"/>
  <c r="F6" i="19"/>
  <c r="H6" i="19"/>
  <c r="R6" i="19" s="1"/>
  <c r="I6" i="19"/>
  <c r="K6" i="19" s="1"/>
  <c r="L6" i="19"/>
  <c r="N6" i="19"/>
  <c r="Q6" i="19"/>
  <c r="S6" i="19"/>
  <c r="T6" i="19"/>
  <c r="U6" i="19"/>
  <c r="X6" i="19"/>
  <c r="C8" i="19"/>
  <c r="D8" i="19"/>
  <c r="E8" i="19"/>
  <c r="F8" i="19"/>
  <c r="H8" i="19"/>
  <c r="R8" i="19" s="1"/>
  <c r="I8" i="19"/>
  <c r="L8" i="19"/>
  <c r="N8" i="19"/>
  <c r="Q8" i="19"/>
  <c r="S8" i="19"/>
  <c r="T8" i="19"/>
  <c r="U8" i="19"/>
  <c r="X8" i="19"/>
  <c r="C11" i="19"/>
  <c r="D11" i="19"/>
  <c r="E11" i="19"/>
  <c r="F11" i="19"/>
  <c r="H11" i="19"/>
  <c r="I11" i="19"/>
  <c r="K11" i="19" s="1"/>
  <c r="L11" i="19"/>
  <c r="N11" i="19"/>
  <c r="Q11" i="19"/>
  <c r="S11" i="19"/>
  <c r="T11" i="19"/>
  <c r="U11" i="19"/>
  <c r="X11" i="19"/>
  <c r="K11" i="16" l="1"/>
  <c r="K4" i="16"/>
  <c r="K7" i="16"/>
  <c r="K3" i="16"/>
  <c r="K9" i="16"/>
  <c r="K8" i="16"/>
  <c r="K2" i="16"/>
  <c r="K5" i="16"/>
  <c r="K6" i="16"/>
  <c r="K10" i="16"/>
  <c r="CL11" i="15"/>
  <c r="CU11" i="15"/>
  <c r="CW11" i="15"/>
  <c r="AC11" i="15"/>
  <c r="AB7" i="15"/>
  <c r="CO4" i="15"/>
  <c r="DI5" i="15"/>
  <c r="DJ5" i="15" s="1"/>
  <c r="DP9" i="15"/>
  <c r="DI9" i="15"/>
  <c r="DJ9" i="15" s="1"/>
  <c r="AS7" i="15"/>
  <c r="AC4" i="15"/>
  <c r="CU8" i="15"/>
  <c r="CW8" i="15" s="1"/>
  <c r="CW2" i="15"/>
  <c r="CO8" i="15"/>
  <c r="CU4" i="15"/>
  <c r="CW4" i="15" s="1"/>
  <c r="CU6" i="15"/>
  <c r="CW6" i="15" s="1"/>
  <c r="CL2" i="15"/>
  <c r="CO2" i="15"/>
  <c r="AC7" i="15"/>
  <c r="AC6" i="15"/>
  <c r="AC2" i="15"/>
  <c r="AB8" i="15"/>
  <c r="AS8" i="15"/>
  <c r="Y8" i="15"/>
  <c r="AC8" i="15" s="1"/>
  <c r="CU7" i="15"/>
  <c r="CW7" i="15" s="1"/>
  <c r="CL7" i="15"/>
  <c r="CO6" i="15"/>
  <c r="CA5" i="15"/>
  <c r="CA9" i="15"/>
  <c r="AG5" i="15"/>
  <c r="AG9" i="15"/>
  <c r="CV9" i="15"/>
  <c r="DD9" i="15"/>
  <c r="CC5" i="15"/>
  <c r="DC5" i="15"/>
  <c r="DR9" i="15"/>
  <c r="AU9" i="15"/>
  <c r="BE5" i="15"/>
  <c r="U5" i="15"/>
  <c r="BH9" i="15"/>
  <c r="CF5" i="15"/>
  <c r="P5" i="15"/>
  <c r="CF9" i="15"/>
  <c r="BY9" i="15"/>
  <c r="DL5" i="15"/>
  <c r="DG5" i="15"/>
  <c r="BY5" i="15"/>
  <c r="DG9" i="15"/>
  <c r="EF5" i="15"/>
  <c r="DD5" i="15"/>
  <c r="BW5" i="15"/>
  <c r="ED5" i="15"/>
  <c r="BL9" i="15"/>
  <c r="EA5" i="15"/>
  <c r="BJ9" i="15"/>
  <c r="CY5" i="15"/>
  <c r="ED9" i="15"/>
  <c r="CS5" i="15"/>
  <c r="BL5" i="15"/>
  <c r="AI5" i="15"/>
  <c r="EA9" i="15"/>
  <c r="CQ9" i="15"/>
  <c r="DV5" i="15"/>
  <c r="CN9" i="15"/>
  <c r="DU5" i="15"/>
  <c r="CN5" i="15"/>
  <c r="BH5" i="15"/>
  <c r="AE5" i="15"/>
  <c r="CK5" i="15"/>
  <c r="CL5" i="15" s="1"/>
  <c r="BC5" i="15"/>
  <c r="CT5" i="15"/>
  <c r="U9" i="15"/>
  <c r="DY5" i="15"/>
  <c r="DA5" i="15"/>
  <c r="BR5" i="15"/>
  <c r="BR9" i="15"/>
  <c r="BC9" i="15"/>
  <c r="DV9" i="15"/>
  <c r="AZ5" i="15"/>
  <c r="AJ9" i="15"/>
  <c r="BT5" i="15"/>
  <c r="S9" i="15"/>
  <c r="AQ9" i="15" s="1"/>
  <c r="AJ5" i="15"/>
  <c r="CT9" i="15"/>
  <c r="CI5" i="15"/>
  <c r="CI9" i="15"/>
  <c r="DP5" i="15"/>
  <c r="DO5" i="15"/>
  <c r="BE9" i="15"/>
  <c r="BF5" i="15"/>
  <c r="EF9" i="15"/>
  <c r="BF9" i="15"/>
  <c r="AX9" i="15"/>
  <c r="T9" i="15"/>
  <c r="CY9" i="15"/>
  <c r="BV9" i="15"/>
  <c r="V9" i="15"/>
  <c r="DR5" i="15"/>
  <c r="CV5" i="15"/>
  <c r="BV5" i="15"/>
  <c r="V5" i="15"/>
  <c r="CQ5" i="15"/>
  <c r="AU5" i="15"/>
  <c r="CE5" i="15"/>
  <c r="DO9" i="15"/>
  <c r="AA5" i="15"/>
  <c r="AR9" i="15"/>
  <c r="Y9" i="15"/>
  <c r="AS9" i="15"/>
  <c r="AB9" i="15"/>
  <c r="BT9" i="15"/>
  <c r="BW9" i="15"/>
  <c r="CJ9" i="15"/>
  <c r="DL9" i="15"/>
  <c r="AZ9" i="15"/>
  <c r="CE9" i="15"/>
  <c r="AY9" i="15"/>
  <c r="AI9" i="15"/>
  <c r="P9" i="15"/>
  <c r="BM5" i="15"/>
  <c r="BN5" i="15" s="1"/>
  <c r="BJ5" i="15"/>
  <c r="DY9" i="15"/>
  <c r="CS9" i="15"/>
  <c r="CC9" i="15"/>
  <c r="BM9" i="15"/>
  <c r="BN9" i="15" s="1"/>
  <c r="AE9" i="15"/>
  <c r="DU9" i="15"/>
  <c r="AA9" i="15"/>
  <c r="DC9" i="15"/>
  <c r="Y5" i="15"/>
  <c r="AS5" i="15"/>
  <c r="AB5" i="15"/>
  <c r="DA9" i="15"/>
  <c r="CK9" i="15"/>
  <c r="CU9" i="15" s="1"/>
  <c r="S5" i="15"/>
  <c r="AQ5" i="15" s="1"/>
  <c r="T5" i="15"/>
  <c r="AY5" i="15"/>
  <c r="CJ5" i="15"/>
  <c r="AX5" i="15"/>
  <c r="AR5" i="15"/>
  <c r="V3" i="19"/>
  <c r="M9" i="19"/>
  <c r="V7" i="19"/>
  <c r="J9" i="19"/>
  <c r="W9" i="19" s="1"/>
  <c r="K9" i="19"/>
  <c r="J10" i="19"/>
  <c r="P4" i="19"/>
  <c r="O6" i="19"/>
  <c r="O7" i="19"/>
  <c r="P11" i="19"/>
  <c r="J5" i="19"/>
  <c r="W5" i="19" s="1"/>
  <c r="M2" i="19"/>
  <c r="M4" i="19"/>
  <c r="M3" i="19"/>
  <c r="M7" i="19"/>
  <c r="P9" i="19"/>
  <c r="K4" i="19"/>
  <c r="J7" i="19"/>
  <c r="W7" i="19" s="1"/>
  <c r="J4" i="19"/>
  <c r="V4" i="19"/>
  <c r="M6" i="19"/>
  <c r="O8" i="19"/>
  <c r="V2" i="19"/>
  <c r="V5" i="19"/>
  <c r="R4" i="19"/>
  <c r="V9" i="19"/>
  <c r="O10" i="19"/>
  <c r="O2" i="19"/>
  <c r="O4" i="19"/>
  <c r="O5" i="19"/>
  <c r="M5" i="19"/>
  <c r="O9" i="19"/>
  <c r="P7" i="19"/>
  <c r="R2" i="19"/>
  <c r="P2" i="19"/>
  <c r="J2" i="19"/>
  <c r="P5" i="19"/>
  <c r="P3" i="19"/>
  <c r="V8" i="19"/>
  <c r="R10" i="19"/>
  <c r="W10" i="19" s="1"/>
  <c r="M10" i="19"/>
  <c r="P10" i="19"/>
  <c r="M8" i="19"/>
  <c r="K10" i="19"/>
  <c r="J8" i="19"/>
  <c r="W8" i="19" s="1"/>
  <c r="J3" i="19"/>
  <c r="V10" i="19"/>
  <c r="J6" i="19"/>
  <c r="W6" i="19" s="1"/>
  <c r="P8" i="19"/>
  <c r="V6" i="19"/>
  <c r="R3" i="19"/>
  <c r="O3" i="19"/>
  <c r="K8" i="19"/>
  <c r="K5" i="19"/>
  <c r="P6" i="19"/>
  <c r="V11" i="19"/>
  <c r="R11" i="19"/>
  <c r="M11" i="19"/>
  <c r="O11" i="19"/>
  <c r="J11" i="19"/>
  <c r="CU5" i="15" l="1"/>
  <c r="CW5" i="15" s="1"/>
  <c r="CO5" i="15"/>
  <c r="CW9" i="15"/>
  <c r="AC5" i="15"/>
  <c r="AC9" i="15"/>
  <c r="CL9" i="15"/>
  <c r="CO9" i="15"/>
  <c r="W2" i="19"/>
  <c r="W4" i="19"/>
  <c r="W3" i="19"/>
  <c r="W11" i="19"/>
  <c r="AO9" i="14" l="1"/>
  <c r="AO11" i="14"/>
  <c r="AO8" i="14"/>
  <c r="AO7" i="14"/>
  <c r="AO4" i="14"/>
  <c r="AO10" i="14"/>
  <c r="AO6" i="14"/>
  <c r="AO3" i="14"/>
  <c r="AO5" i="14"/>
  <c r="AO2" i="14"/>
  <c r="AK5" i="14"/>
  <c r="AL5" i="14"/>
  <c r="AK11" i="14"/>
  <c r="AL11" i="14"/>
  <c r="AK6" i="14"/>
  <c r="AL6" i="14"/>
  <c r="AK4" i="14"/>
  <c r="AL4" i="14"/>
  <c r="AK2" i="14"/>
  <c r="AL2" i="14"/>
  <c r="AK8" i="14"/>
  <c r="AL8" i="14"/>
  <c r="AK9" i="14"/>
  <c r="AL9" i="14"/>
  <c r="AK10" i="14"/>
  <c r="AL10" i="14"/>
  <c r="AK3" i="14"/>
  <c r="AL3" i="14"/>
  <c r="AK7" i="14"/>
  <c r="AL7" i="14"/>
  <c r="B11" i="14"/>
  <c r="C11" i="14"/>
  <c r="D11" i="14"/>
  <c r="E11" i="14"/>
  <c r="F11" i="14"/>
  <c r="G11" i="14"/>
  <c r="H11" i="14"/>
  <c r="I11" i="14"/>
  <c r="J11" i="14"/>
  <c r="L11" i="14"/>
  <c r="BB11" i="14" s="1"/>
  <c r="M11" i="14"/>
  <c r="N11" i="14" s="1"/>
  <c r="O11" i="14"/>
  <c r="P11" i="14"/>
  <c r="Q11" i="14"/>
  <c r="T11" i="14"/>
  <c r="U11" i="14"/>
  <c r="AI11" i="14"/>
  <c r="AQ11" i="14"/>
  <c r="AU11" i="14"/>
  <c r="AY11" i="14"/>
  <c r="AZ11" i="14" s="1"/>
  <c r="BH11" i="14"/>
  <c r="BJ11" i="14"/>
  <c r="BO11" i="14"/>
  <c r="BS11" i="14"/>
  <c r="BU11" i="14"/>
  <c r="BX11" i="14"/>
  <c r="BY11" i="14"/>
  <c r="BZ11" i="14"/>
  <c r="CE11" i="14"/>
  <c r="CG11" i="14"/>
  <c r="CH11" i="14"/>
  <c r="CJ11" i="14"/>
  <c r="CK11" i="14"/>
  <c r="CO11" i="14"/>
  <c r="CQ11" i="14"/>
  <c r="CR11" i="14"/>
  <c r="CS11" i="14"/>
  <c r="DB11" i="14"/>
  <c r="DD11" i="14"/>
  <c r="DE11" i="14"/>
  <c r="BD11" i="14"/>
  <c r="BF11" i="14"/>
  <c r="DH11" i="14"/>
  <c r="DJ11" i="14"/>
  <c r="DL11" i="14"/>
  <c r="DN11" i="14"/>
  <c r="DO11" i="14"/>
  <c r="B6" i="14"/>
  <c r="C6" i="14"/>
  <c r="D6" i="14"/>
  <c r="E6" i="14"/>
  <c r="F6" i="14"/>
  <c r="G6" i="14"/>
  <c r="H6" i="14"/>
  <c r="I6" i="14"/>
  <c r="J6" i="14"/>
  <c r="L6" i="14"/>
  <c r="BB6" i="14" s="1"/>
  <c r="M6" i="14"/>
  <c r="N6" i="14" s="1"/>
  <c r="O6" i="14"/>
  <c r="P6" i="14"/>
  <c r="Q6" i="14"/>
  <c r="T6" i="14"/>
  <c r="U6" i="14"/>
  <c r="AI6" i="14"/>
  <c r="AQ6" i="14"/>
  <c r="AU6" i="14"/>
  <c r="DG6" i="14" s="1"/>
  <c r="AY6" i="14"/>
  <c r="AZ6" i="14" s="1"/>
  <c r="BH6" i="14"/>
  <c r="BJ6" i="14"/>
  <c r="BO6" i="14"/>
  <c r="BS6" i="14"/>
  <c r="BU6" i="14"/>
  <c r="BX6" i="14"/>
  <c r="BY6" i="14"/>
  <c r="BZ6" i="14"/>
  <c r="CE6" i="14"/>
  <c r="CG6" i="14"/>
  <c r="CH6" i="14"/>
  <c r="CJ6" i="14"/>
  <c r="CK6" i="14"/>
  <c r="CO6" i="14"/>
  <c r="CQ6" i="14"/>
  <c r="CR6" i="14"/>
  <c r="CS6" i="14"/>
  <c r="DB6" i="14"/>
  <c r="DD6" i="14"/>
  <c r="DE6" i="14"/>
  <c r="BD6" i="14"/>
  <c r="BF6" i="14"/>
  <c r="DH6" i="14"/>
  <c r="DJ6" i="14"/>
  <c r="DL6" i="14"/>
  <c r="DN6" i="14"/>
  <c r="DO6" i="14"/>
  <c r="B4" i="14"/>
  <c r="C4" i="14"/>
  <c r="D4" i="14"/>
  <c r="E4" i="14"/>
  <c r="F4" i="14"/>
  <c r="G4" i="14"/>
  <c r="H4" i="14"/>
  <c r="I4" i="14"/>
  <c r="J4" i="14"/>
  <c r="L4" i="14"/>
  <c r="BB4" i="14" s="1"/>
  <c r="M4" i="14"/>
  <c r="N4" i="14" s="1"/>
  <c r="O4" i="14"/>
  <c r="P4" i="14"/>
  <c r="Q4" i="14"/>
  <c r="T4" i="14"/>
  <c r="U4" i="14"/>
  <c r="AI4" i="14"/>
  <c r="AQ4" i="14"/>
  <c r="AS4" i="14" s="1"/>
  <c r="AU4" i="14"/>
  <c r="CZ4" i="14" s="1"/>
  <c r="AY4" i="14"/>
  <c r="BH4" i="14"/>
  <c r="BJ4" i="14"/>
  <c r="BO4" i="14"/>
  <c r="CA4" i="14" s="1"/>
  <c r="CB4" i="14" s="1"/>
  <c r="CC4" i="14" s="1"/>
  <c r="BS4" i="14"/>
  <c r="BU4" i="14"/>
  <c r="BX4" i="14"/>
  <c r="BY4" i="14"/>
  <c r="BZ4" i="14"/>
  <c r="CE4" i="14"/>
  <c r="CG4" i="14"/>
  <c r="CH4" i="14"/>
  <c r="CJ4" i="14"/>
  <c r="CK4" i="14"/>
  <c r="CO4" i="14"/>
  <c r="CQ4" i="14"/>
  <c r="CR4" i="14"/>
  <c r="CS4" i="14"/>
  <c r="DB4" i="14"/>
  <c r="DD4" i="14"/>
  <c r="DE4" i="14"/>
  <c r="BD4" i="14"/>
  <c r="BF4" i="14"/>
  <c r="DH4" i="14"/>
  <c r="DJ4" i="14"/>
  <c r="DL4" i="14"/>
  <c r="DN4" i="14"/>
  <c r="DO4" i="14"/>
  <c r="B2" i="14"/>
  <c r="C2" i="14"/>
  <c r="D2" i="14"/>
  <c r="E2" i="14"/>
  <c r="F2" i="14"/>
  <c r="G2" i="14"/>
  <c r="H2" i="14"/>
  <c r="I2" i="14"/>
  <c r="J2" i="14"/>
  <c r="L2" i="14"/>
  <c r="M2" i="14"/>
  <c r="N2" i="14" s="1"/>
  <c r="O2" i="14"/>
  <c r="P2" i="14"/>
  <c r="Q2" i="14"/>
  <c r="T2" i="14"/>
  <c r="U2" i="14"/>
  <c r="AI2" i="14"/>
  <c r="AQ2" i="14"/>
  <c r="AS2" i="14" s="1"/>
  <c r="AU2" i="14"/>
  <c r="DF2" i="14" s="1"/>
  <c r="AY2" i="14"/>
  <c r="BH2" i="14"/>
  <c r="BJ2" i="14"/>
  <c r="BO2" i="14"/>
  <c r="BS2" i="14"/>
  <c r="BU2" i="14"/>
  <c r="BX2" i="14"/>
  <c r="BY2" i="14"/>
  <c r="BZ2" i="14"/>
  <c r="CE2" i="14"/>
  <c r="CG2" i="14"/>
  <c r="CH2" i="14"/>
  <c r="CJ2" i="14"/>
  <c r="CK2" i="14"/>
  <c r="CO2" i="14"/>
  <c r="CQ2" i="14"/>
  <c r="CR2" i="14"/>
  <c r="CS2" i="14"/>
  <c r="DB2" i="14"/>
  <c r="DD2" i="14"/>
  <c r="DE2" i="14"/>
  <c r="BF2" i="14"/>
  <c r="DH2" i="14"/>
  <c r="DJ2" i="14"/>
  <c r="DL2" i="14"/>
  <c r="DN2" i="14"/>
  <c r="DO2" i="14"/>
  <c r="B8" i="14"/>
  <c r="C8" i="14"/>
  <c r="D8" i="14"/>
  <c r="E8" i="14"/>
  <c r="F8" i="14"/>
  <c r="G8" i="14"/>
  <c r="H8" i="14"/>
  <c r="I8" i="14"/>
  <c r="J8" i="14"/>
  <c r="L8" i="14"/>
  <c r="BB8" i="14" s="1"/>
  <c r="M8" i="14"/>
  <c r="N8" i="14" s="1"/>
  <c r="O8" i="14"/>
  <c r="P8" i="14"/>
  <c r="Q8" i="14"/>
  <c r="T8" i="14"/>
  <c r="U8" i="14"/>
  <c r="AI8" i="14"/>
  <c r="AQ8" i="14"/>
  <c r="AU8" i="14"/>
  <c r="DG8" i="14" s="1"/>
  <c r="AY8" i="14"/>
  <c r="AZ8" i="14" s="1"/>
  <c r="BH8" i="14"/>
  <c r="BJ8" i="14"/>
  <c r="BO8" i="14"/>
  <c r="CA8" i="14" s="1"/>
  <c r="CB8" i="14" s="1"/>
  <c r="BS8" i="14"/>
  <c r="BU8" i="14"/>
  <c r="BX8" i="14"/>
  <c r="BY8" i="14"/>
  <c r="BZ8" i="14"/>
  <c r="CE8" i="14"/>
  <c r="CG8" i="14"/>
  <c r="CH8" i="14"/>
  <c r="CJ8" i="14"/>
  <c r="CK8" i="14"/>
  <c r="CO8" i="14"/>
  <c r="CQ8" i="14"/>
  <c r="CR8" i="14"/>
  <c r="CS8" i="14"/>
  <c r="DB8" i="14"/>
  <c r="DD8" i="14"/>
  <c r="DE8" i="14"/>
  <c r="BD8" i="14"/>
  <c r="BF8" i="14"/>
  <c r="DH8" i="14"/>
  <c r="DJ8" i="14"/>
  <c r="DL8" i="14"/>
  <c r="DN8" i="14"/>
  <c r="DO8" i="14"/>
  <c r="A2" i="14"/>
  <c r="A3" i="14"/>
  <c r="A4" i="14"/>
  <c r="A5" i="14"/>
  <c r="A6" i="14"/>
  <c r="A7" i="14"/>
  <c r="A8" i="14"/>
  <c r="A9" i="14"/>
  <c r="B9" i="14"/>
  <c r="C9" i="14"/>
  <c r="D9" i="14"/>
  <c r="E9" i="14"/>
  <c r="F9" i="14"/>
  <c r="G9" i="14"/>
  <c r="H9" i="14"/>
  <c r="I9" i="14"/>
  <c r="J9" i="14"/>
  <c r="L9" i="14"/>
  <c r="BB9" i="14" s="1"/>
  <c r="M9" i="14"/>
  <c r="N9" i="14" s="1"/>
  <c r="O9" i="14"/>
  <c r="P9" i="14"/>
  <c r="Q9" i="14"/>
  <c r="T9" i="14"/>
  <c r="U9" i="14"/>
  <c r="AI9" i="14"/>
  <c r="AQ9" i="14"/>
  <c r="AU9" i="14"/>
  <c r="AY9" i="14"/>
  <c r="AZ9" i="14" s="1"/>
  <c r="BH9" i="14"/>
  <c r="BJ9" i="14"/>
  <c r="BO9" i="14"/>
  <c r="BS9" i="14"/>
  <c r="BU9" i="14"/>
  <c r="BX9" i="14"/>
  <c r="BY9" i="14"/>
  <c r="BZ9" i="14"/>
  <c r="CE9" i="14"/>
  <c r="CG9" i="14"/>
  <c r="CH9" i="14"/>
  <c r="CJ9" i="14"/>
  <c r="CK9" i="14"/>
  <c r="CO9" i="14"/>
  <c r="CQ9" i="14"/>
  <c r="CR9" i="14"/>
  <c r="CS9" i="14"/>
  <c r="DB9" i="14"/>
  <c r="DD9" i="14"/>
  <c r="DE9" i="14"/>
  <c r="BD9" i="14"/>
  <c r="BF9" i="14"/>
  <c r="DH9" i="14"/>
  <c r="DJ9" i="14"/>
  <c r="DL9" i="14"/>
  <c r="DN9" i="14"/>
  <c r="DO9" i="14"/>
  <c r="A10" i="14"/>
  <c r="A11" i="14"/>
  <c r="B10" i="14"/>
  <c r="C10" i="14"/>
  <c r="D10" i="14"/>
  <c r="E10" i="14"/>
  <c r="F10" i="14"/>
  <c r="G10" i="14"/>
  <c r="H10" i="14"/>
  <c r="I10" i="14"/>
  <c r="J10" i="14"/>
  <c r="L10" i="14"/>
  <c r="BB10" i="14" s="1"/>
  <c r="M10" i="14"/>
  <c r="N10" i="14" s="1"/>
  <c r="O10" i="14"/>
  <c r="P10" i="14"/>
  <c r="Q10" i="14"/>
  <c r="T10" i="14"/>
  <c r="U10" i="14"/>
  <c r="AI10" i="14"/>
  <c r="AQ10" i="14"/>
  <c r="AS10" i="14" s="1"/>
  <c r="AU10" i="14"/>
  <c r="CZ10" i="14" s="1"/>
  <c r="AY10" i="14"/>
  <c r="AZ10" i="14" s="1"/>
  <c r="BH10" i="14"/>
  <c r="BJ10" i="14"/>
  <c r="BO10" i="14"/>
  <c r="CA10" i="14" s="1"/>
  <c r="CB10" i="14" s="1"/>
  <c r="CC10" i="14" s="1"/>
  <c r="BS10" i="14"/>
  <c r="BU10" i="14"/>
  <c r="BX10" i="14"/>
  <c r="BY10" i="14"/>
  <c r="BZ10" i="14"/>
  <c r="CE10" i="14"/>
  <c r="CG10" i="14"/>
  <c r="CH10" i="14"/>
  <c r="CJ10" i="14"/>
  <c r="CK10" i="14"/>
  <c r="CO10" i="14"/>
  <c r="CQ10" i="14"/>
  <c r="CR10" i="14"/>
  <c r="CS10" i="14"/>
  <c r="DB10" i="14"/>
  <c r="DD10" i="14"/>
  <c r="DE10" i="14"/>
  <c r="BD10" i="14"/>
  <c r="BF10" i="14"/>
  <c r="DH10" i="14"/>
  <c r="DJ10" i="14"/>
  <c r="DL10" i="14"/>
  <c r="DN10" i="14"/>
  <c r="DO10" i="14"/>
  <c r="B3" i="14"/>
  <c r="C3" i="14"/>
  <c r="D3" i="14"/>
  <c r="E3" i="14"/>
  <c r="F3" i="14"/>
  <c r="G3" i="14"/>
  <c r="H3" i="14"/>
  <c r="I3" i="14"/>
  <c r="J3" i="14"/>
  <c r="L3" i="14"/>
  <c r="BB3" i="14" s="1"/>
  <c r="M3" i="14"/>
  <c r="N3" i="14" s="1"/>
  <c r="O3" i="14"/>
  <c r="P3" i="14"/>
  <c r="Q3" i="14"/>
  <c r="T3" i="14"/>
  <c r="U3" i="14"/>
  <c r="AI3" i="14"/>
  <c r="AQ3" i="14"/>
  <c r="AU3" i="14"/>
  <c r="AY3" i="14"/>
  <c r="AZ3" i="14" s="1"/>
  <c r="BH3" i="14"/>
  <c r="BJ3" i="14"/>
  <c r="BO3" i="14"/>
  <c r="CA3" i="14" s="1"/>
  <c r="CB3" i="14" s="1"/>
  <c r="CC3" i="14" s="1"/>
  <c r="BS3" i="14"/>
  <c r="BU3" i="14"/>
  <c r="BX3" i="14"/>
  <c r="BY3" i="14"/>
  <c r="BZ3" i="14"/>
  <c r="CE3" i="14"/>
  <c r="CG3" i="14"/>
  <c r="CH3" i="14"/>
  <c r="CJ3" i="14"/>
  <c r="CK3" i="14"/>
  <c r="CO3" i="14"/>
  <c r="CQ3" i="14"/>
  <c r="CR3" i="14"/>
  <c r="CS3" i="14"/>
  <c r="DB3" i="14"/>
  <c r="DD3" i="14"/>
  <c r="DE3" i="14"/>
  <c r="BD3" i="14"/>
  <c r="BF3" i="14"/>
  <c r="DH3" i="14"/>
  <c r="DJ3" i="14"/>
  <c r="DL3" i="14"/>
  <c r="DN3" i="14"/>
  <c r="DO3" i="14"/>
  <c r="B7" i="14"/>
  <c r="C7" i="14"/>
  <c r="D7" i="14"/>
  <c r="E7" i="14"/>
  <c r="F7" i="14"/>
  <c r="G7" i="14"/>
  <c r="H7" i="14"/>
  <c r="I7" i="14"/>
  <c r="J7" i="14"/>
  <c r="L7" i="14"/>
  <c r="BB7" i="14" s="1"/>
  <c r="M7" i="14"/>
  <c r="N7" i="14" s="1"/>
  <c r="O7" i="14"/>
  <c r="P7" i="14"/>
  <c r="Q7" i="14"/>
  <c r="T7" i="14"/>
  <c r="U7" i="14"/>
  <c r="AI7" i="14"/>
  <c r="AQ7" i="14"/>
  <c r="AU7" i="14"/>
  <c r="CZ7" i="14" s="1"/>
  <c r="AY7" i="14"/>
  <c r="AZ7" i="14" s="1"/>
  <c r="BH7" i="14"/>
  <c r="BJ7" i="14"/>
  <c r="BO7" i="14"/>
  <c r="BS7" i="14"/>
  <c r="BU7" i="14"/>
  <c r="BX7" i="14"/>
  <c r="BY7" i="14"/>
  <c r="BZ7" i="14"/>
  <c r="CE7" i="14"/>
  <c r="CG7" i="14"/>
  <c r="CH7" i="14"/>
  <c r="CJ7" i="14"/>
  <c r="CK7" i="14"/>
  <c r="CO7" i="14"/>
  <c r="CQ7" i="14"/>
  <c r="CR7" i="14"/>
  <c r="CS7" i="14"/>
  <c r="DB7" i="14"/>
  <c r="DD7" i="14"/>
  <c r="DE7" i="14"/>
  <c r="BD7" i="14"/>
  <c r="BF7" i="14"/>
  <c r="DH7" i="14"/>
  <c r="DJ7" i="14"/>
  <c r="DL7" i="14"/>
  <c r="DN7" i="14"/>
  <c r="DO7" i="14"/>
  <c r="D10" i="15"/>
  <c r="E10" i="15"/>
  <c r="B10" i="15"/>
  <c r="C10" i="15"/>
  <c r="F10" i="15"/>
  <c r="G10" i="15"/>
  <c r="H10" i="15"/>
  <c r="J10" i="15"/>
  <c r="I3" i="15" s="1"/>
  <c r="K10" i="15"/>
  <c r="L10" i="15" s="1"/>
  <c r="M10" i="15"/>
  <c r="N10" i="15"/>
  <c r="O10" i="15"/>
  <c r="Q10" i="15"/>
  <c r="R10" i="15"/>
  <c r="W10" i="15"/>
  <c r="X10" i="15" s="1"/>
  <c r="Z10" i="15"/>
  <c r="DI10" i="15" s="1"/>
  <c r="AD10" i="15"/>
  <c r="AH10" i="15"/>
  <c r="AK10" i="15"/>
  <c r="AL10" i="15"/>
  <c r="AM10" i="15"/>
  <c r="AN10" i="15"/>
  <c r="AO10" i="15"/>
  <c r="AP10" i="15"/>
  <c r="AT10" i="15"/>
  <c r="AV10" i="15"/>
  <c r="AW10" i="15"/>
  <c r="BA10" i="15"/>
  <c r="BB10" i="15"/>
  <c r="BD10" i="15"/>
  <c r="BG10" i="15"/>
  <c r="BI10" i="15"/>
  <c r="BK10" i="15"/>
  <c r="BO10" i="15"/>
  <c r="BP10" i="15"/>
  <c r="BQ10" i="15"/>
  <c r="BS10" i="15"/>
  <c r="BU10" i="15"/>
  <c r="BZ10" i="15"/>
  <c r="CB10" i="15"/>
  <c r="CC10" i="15" s="1"/>
  <c r="CD10" i="15"/>
  <c r="CG10" i="15"/>
  <c r="CH10" i="15"/>
  <c r="CM10" i="15"/>
  <c r="CP10" i="15"/>
  <c r="CR10" i="15"/>
  <c r="CX10" i="15"/>
  <c r="CZ10" i="15"/>
  <c r="DB10" i="15"/>
  <c r="DE10" i="15"/>
  <c r="DF10" i="15"/>
  <c r="DH10" i="15"/>
  <c r="DK10" i="15"/>
  <c r="DM10" i="15"/>
  <c r="DN10" i="15"/>
  <c r="DQ10" i="15"/>
  <c r="DR10" i="15" s="1"/>
  <c r="DW10" i="15"/>
  <c r="DX10" i="15"/>
  <c r="DZ10" i="15" s="1"/>
  <c r="EB10" i="15"/>
  <c r="EC10" i="15"/>
  <c r="EE10" i="15"/>
  <c r="EG10" i="15"/>
  <c r="AG10" i="15" l="1"/>
  <c r="I11" i="15"/>
  <c r="BB2" i="14"/>
  <c r="X2" i="14"/>
  <c r="Z2" i="14"/>
  <c r="AD2" i="14"/>
  <c r="AB2" i="14"/>
  <c r="I7" i="15"/>
  <c r="I4" i="15"/>
  <c r="I2" i="15"/>
  <c r="I8" i="15"/>
  <c r="I6" i="15"/>
  <c r="CF10" i="15"/>
  <c r="I9" i="15"/>
  <c r="I5" i="15"/>
  <c r="DA10" i="15"/>
  <c r="AJ11" i="14"/>
  <c r="AJ9" i="14"/>
  <c r="AJ7" i="14"/>
  <c r="AJ3" i="14"/>
  <c r="CT3" i="14"/>
  <c r="CT6" i="14"/>
  <c r="AJ10" i="14"/>
  <c r="AJ5" i="14"/>
  <c r="AN11" i="14"/>
  <c r="AN9" i="14"/>
  <c r="AJ8" i="14"/>
  <c r="AN2" i="14"/>
  <c r="AJ2" i="14"/>
  <c r="AN7" i="14"/>
  <c r="AJ4" i="14"/>
  <c r="AJ6" i="14"/>
  <c r="DC10" i="15"/>
  <c r="BL10" i="15"/>
  <c r="AY10" i="15"/>
  <c r="EA10" i="15"/>
  <c r="DU10" i="15"/>
  <c r="CS10" i="15"/>
  <c r="U10" i="15"/>
  <c r="DL10" i="15"/>
  <c r="CA10" i="15"/>
  <c r="DJ10" i="15"/>
  <c r="BT10" i="15"/>
  <c r="EF10" i="15"/>
  <c r="AJ10" i="15"/>
  <c r="CY10" i="15"/>
  <c r="BM10" i="15"/>
  <c r="BN10" i="15" s="1"/>
  <c r="AZ10" i="15"/>
  <c r="CV10" i="15"/>
  <c r="BJ10" i="15"/>
  <c r="CJ10" i="15"/>
  <c r="BR10" i="15"/>
  <c r="DY10" i="15"/>
  <c r="BH10" i="15"/>
  <c r="CK10" i="15"/>
  <c r="CU10" i="15" s="1"/>
  <c r="BC10" i="15"/>
  <c r="BG3" i="14"/>
  <c r="BE3" i="14"/>
  <c r="BV3" i="14"/>
  <c r="BL3" i="14"/>
  <c r="BM3" i="14" s="1"/>
  <c r="BK6" i="14"/>
  <c r="BI6" i="14"/>
  <c r="AM10" i="14"/>
  <c r="AP10" i="14" s="1"/>
  <c r="DM4" i="14"/>
  <c r="BW4" i="14"/>
  <c r="BE9" i="14"/>
  <c r="S2" i="14"/>
  <c r="AM3" i="14"/>
  <c r="AP3" i="14" s="1"/>
  <c r="BN9" i="14"/>
  <c r="AM8" i="14"/>
  <c r="AP8" i="14" s="1"/>
  <c r="DM11" i="14"/>
  <c r="AM2" i="14"/>
  <c r="AP2" i="14" s="1"/>
  <c r="BW6" i="14"/>
  <c r="CP9" i="14"/>
  <c r="AM9" i="14"/>
  <c r="AP9" i="14" s="1"/>
  <c r="BW10" i="14"/>
  <c r="AR9" i="14"/>
  <c r="BE11" i="14"/>
  <c r="AM11" i="14"/>
  <c r="AP11" i="14" s="1"/>
  <c r="AN3" i="14"/>
  <c r="BW11" i="14"/>
  <c r="BP11" i="14"/>
  <c r="CT11" i="14"/>
  <c r="AM7" i="14"/>
  <c r="AP7" i="14" s="1"/>
  <c r="CI2" i="14"/>
  <c r="CI7" i="14"/>
  <c r="V7" i="14"/>
  <c r="AV8" i="14"/>
  <c r="AN6" i="14"/>
  <c r="AN10" i="14"/>
  <c r="DC8" i="14"/>
  <c r="AM6" i="14"/>
  <c r="AP6" i="14" s="1"/>
  <c r="BN3" i="14"/>
  <c r="AN4" i="14"/>
  <c r="BV7" i="14"/>
  <c r="AM4" i="14"/>
  <c r="AP4" i="14" s="1"/>
  <c r="BR9" i="14"/>
  <c r="BN2" i="14"/>
  <c r="BL4" i="14"/>
  <c r="BM4" i="14" s="1"/>
  <c r="AN8" i="14"/>
  <c r="CZ6" i="14"/>
  <c r="DA6" i="14" s="1"/>
  <c r="DK11" i="14"/>
  <c r="CM9" i="14"/>
  <c r="CL9" i="14" s="1"/>
  <c r="CT8" i="14"/>
  <c r="BE2" i="14"/>
  <c r="CN4" i="14"/>
  <c r="R7" i="14"/>
  <c r="CI9" i="14"/>
  <c r="V9" i="14"/>
  <c r="BA2" i="14"/>
  <c r="BC8" i="14"/>
  <c r="BE8" i="14"/>
  <c r="DM6" i="14"/>
  <c r="AV3" i="14"/>
  <c r="BK10" i="14"/>
  <c r="DF8" i="14"/>
  <c r="DC4" i="14"/>
  <c r="CP7" i="14"/>
  <c r="DA7" i="14"/>
  <c r="CF2" i="14"/>
  <c r="BW8" i="14"/>
  <c r="R6" i="14"/>
  <c r="V11" i="14"/>
  <c r="BG9" i="14"/>
  <c r="CT4" i="14"/>
  <c r="BW2" i="14"/>
  <c r="CM10" i="14"/>
  <c r="CL10" i="14" s="1"/>
  <c r="CP4" i="14"/>
  <c r="BA4" i="14"/>
  <c r="AV6" i="14"/>
  <c r="BK11" i="14"/>
  <c r="AR3" i="14"/>
  <c r="BL9" i="14"/>
  <c r="BM9" i="14" s="1"/>
  <c r="BI2" i="14"/>
  <c r="DA4" i="14"/>
  <c r="BE6" i="14"/>
  <c r="BL11" i="14"/>
  <c r="BM11" i="14" s="1"/>
  <c r="CF3" i="14"/>
  <c r="CM8" i="14"/>
  <c r="CL8" i="14" s="1"/>
  <c r="AT4" i="14"/>
  <c r="CP11" i="14"/>
  <c r="BG7" i="14"/>
  <c r="DI3" i="14"/>
  <c r="DK8" i="14"/>
  <c r="CI8" i="14"/>
  <c r="AZ2" i="14"/>
  <c r="DF6" i="14"/>
  <c r="CM11" i="14"/>
  <c r="CL11" i="14" s="1"/>
  <c r="CF4" i="14"/>
  <c r="BC6" i="14"/>
  <c r="DF10" i="14"/>
  <c r="CM2" i="14"/>
  <c r="CL2" i="14" s="1"/>
  <c r="BR4" i="14"/>
  <c r="V4" i="14"/>
  <c r="BV6" i="14"/>
  <c r="BW3" i="14"/>
  <c r="BG4" i="14"/>
  <c r="DC3" i="14"/>
  <c r="BI10" i="14"/>
  <c r="BE4" i="14"/>
  <c r="BP6" i="14"/>
  <c r="DI11" i="14"/>
  <c r="CA11" i="14"/>
  <c r="CB11" i="14" s="1"/>
  <c r="CC11" i="14" s="1"/>
  <c r="DC7" i="14"/>
  <c r="BR3" i="14"/>
  <c r="AS9" i="14"/>
  <c r="AT9" i="14" s="1"/>
  <c r="BV8" i="14"/>
  <c r="CZ2" i="14"/>
  <c r="DA2" i="14" s="1"/>
  <c r="BQ3" i="14"/>
  <c r="CD3" i="14" s="1"/>
  <c r="BT8" i="14"/>
  <c r="V8" i="14"/>
  <c r="S4" i="14"/>
  <c r="BT9" i="14"/>
  <c r="BK8" i="14"/>
  <c r="S8" i="14"/>
  <c r="CM7" i="14"/>
  <c r="CL7" i="14" s="1"/>
  <c r="BI8" i="14"/>
  <c r="CN2" i="14"/>
  <c r="DM7" i="14"/>
  <c r="CP6" i="14"/>
  <c r="BI3" i="14"/>
  <c r="CP8" i="14"/>
  <c r="BC4" i="14"/>
  <c r="CF6" i="14"/>
  <c r="DG10" i="14"/>
  <c r="BR10" i="14"/>
  <c r="V10" i="14"/>
  <c r="DM8" i="14"/>
  <c r="AZ4" i="14"/>
  <c r="BA6" i="14"/>
  <c r="CA6" i="14"/>
  <c r="CB6" i="14" s="1"/>
  <c r="CC6" i="14" s="1"/>
  <c r="DI8" i="14"/>
  <c r="BA8" i="14"/>
  <c r="BR6" i="14"/>
  <c r="CM3" i="14"/>
  <c r="CL3" i="14" s="1"/>
  <c r="BG8" i="14"/>
  <c r="DG2" i="14"/>
  <c r="AR6" i="14"/>
  <c r="DG7" i="14"/>
  <c r="BA9" i="14"/>
  <c r="CF8" i="14"/>
  <c r="BR2" i="14"/>
  <c r="AR4" i="14"/>
  <c r="DC6" i="14"/>
  <c r="BQ6" i="14"/>
  <c r="CD6" i="14" s="1"/>
  <c r="CI11" i="14"/>
  <c r="BK3" i="14"/>
  <c r="AW2" i="14"/>
  <c r="AX2" i="14" s="1"/>
  <c r="AT2" i="14"/>
  <c r="DF7" i="14"/>
  <c r="BT3" i="14"/>
  <c r="CW3" i="14"/>
  <c r="CX3" i="14" s="1"/>
  <c r="AR8" i="14"/>
  <c r="AS8" i="14"/>
  <c r="S7" i="14"/>
  <c r="CM4" i="14"/>
  <c r="CL4" i="14" s="1"/>
  <c r="CN10" i="14"/>
  <c r="BV9" i="14"/>
  <c r="BW9" i="14"/>
  <c r="BC3" i="14"/>
  <c r="CP3" i="14"/>
  <c r="CI10" i="14"/>
  <c r="DM3" i="14"/>
  <c r="BP3" i="14"/>
  <c r="V3" i="14"/>
  <c r="BG10" i="14"/>
  <c r="S9" i="14"/>
  <c r="R3" i="14"/>
  <c r="BE10" i="14"/>
  <c r="R9" i="14"/>
  <c r="DF11" i="14"/>
  <c r="DG11" i="14"/>
  <c r="CZ11" i="14"/>
  <c r="DA11" i="14" s="1"/>
  <c r="S3" i="14"/>
  <c r="DG4" i="14"/>
  <c r="DI9" i="14"/>
  <c r="CN8" i="14"/>
  <c r="DF4" i="14"/>
  <c r="CI4" i="14"/>
  <c r="V6" i="14"/>
  <c r="DK3" i="14"/>
  <c r="CN3" i="14"/>
  <c r="BP10" i="14"/>
  <c r="R10" i="14"/>
  <c r="DC9" i="14"/>
  <c r="AV4" i="14"/>
  <c r="S6" i="14"/>
  <c r="BL2" i="14"/>
  <c r="BM2" i="14" s="1"/>
  <c r="CN11" i="14"/>
  <c r="R2" i="14"/>
  <c r="BT4" i="14"/>
  <c r="CN9" i="14"/>
  <c r="DK4" i="14"/>
  <c r="DK6" i="14"/>
  <c r="BT6" i="14"/>
  <c r="CZ8" i="14"/>
  <c r="DA8" i="14" s="1"/>
  <c r="DI4" i="14"/>
  <c r="DI6" i="14"/>
  <c r="BN11" i="14"/>
  <c r="BK4" i="14"/>
  <c r="BG6" i="14"/>
  <c r="BW7" i="14"/>
  <c r="AR7" i="14"/>
  <c r="AS7" i="14"/>
  <c r="AT7" i="14" s="1"/>
  <c r="BE7" i="14"/>
  <c r="CT7" i="14"/>
  <c r="DI7" i="14"/>
  <c r="DK7" i="14"/>
  <c r="CN7" i="14"/>
  <c r="BT7" i="14"/>
  <c r="BP7" i="14"/>
  <c r="BQ7" i="14"/>
  <c r="CD7" i="14" s="1"/>
  <c r="CI3" i="14"/>
  <c r="BK7" i="14"/>
  <c r="AR11" i="14"/>
  <c r="AS11" i="14"/>
  <c r="AT11" i="14" s="1"/>
  <c r="BN7" i="14"/>
  <c r="BC7" i="14"/>
  <c r="BI7" i="14"/>
  <c r="BN10" i="14"/>
  <c r="CW10" i="14"/>
  <c r="BL7" i="14"/>
  <c r="BM7" i="14" s="1"/>
  <c r="BL10" i="14"/>
  <c r="BM10" i="14" s="1"/>
  <c r="CF7" i="14"/>
  <c r="CA7" i="14"/>
  <c r="BA7" i="14"/>
  <c r="CT10" i="14"/>
  <c r="AR10" i="14"/>
  <c r="DI10" i="14"/>
  <c r="AT10" i="14"/>
  <c r="CF10" i="14"/>
  <c r="DM10" i="14"/>
  <c r="AV10" i="14"/>
  <c r="DA10" i="14"/>
  <c r="DC10" i="14"/>
  <c r="BA10" i="14"/>
  <c r="BV10" i="14"/>
  <c r="CP10" i="14"/>
  <c r="BR7" i="14"/>
  <c r="CZ3" i="14"/>
  <c r="DA3" i="14" s="1"/>
  <c r="DF3" i="14"/>
  <c r="DG3" i="14"/>
  <c r="CU3" i="14"/>
  <c r="CV3" i="14" s="1"/>
  <c r="AV7" i="14"/>
  <c r="CC8" i="14"/>
  <c r="CW8" i="14"/>
  <c r="DF9" i="14"/>
  <c r="DG9" i="14"/>
  <c r="AV9" i="14"/>
  <c r="AS3" i="14"/>
  <c r="BL8" i="14"/>
  <c r="BM8" i="14" s="1"/>
  <c r="BN8" i="14"/>
  <c r="CU8" i="14"/>
  <c r="CV8" i="14" s="1"/>
  <c r="AV2" i="14"/>
  <c r="DM2" i="14"/>
  <c r="BT2" i="14"/>
  <c r="DC2" i="14"/>
  <c r="BV2" i="14"/>
  <c r="BC10" i="14"/>
  <c r="AR2" i="14"/>
  <c r="CA9" i="14"/>
  <c r="CB9" i="14" s="1"/>
  <c r="BP9" i="14"/>
  <c r="BQ9" i="14"/>
  <c r="CD9" i="14" s="1"/>
  <c r="BT10" i="14"/>
  <c r="AW10" i="14"/>
  <c r="AX10" i="14" s="1"/>
  <c r="CT2" i="14"/>
  <c r="BQ10" i="14"/>
  <c r="CD10" i="14" s="1"/>
  <c r="S10" i="14"/>
  <c r="CZ9" i="14"/>
  <c r="DA9" i="14" s="1"/>
  <c r="CF9" i="14"/>
  <c r="BK9" i="14"/>
  <c r="DK2" i="14"/>
  <c r="BP2" i="14"/>
  <c r="BQ2" i="14"/>
  <c r="CD2" i="14" s="1"/>
  <c r="CA2" i="14"/>
  <c r="DM9" i="14"/>
  <c r="BI9" i="14"/>
  <c r="DI2" i="14"/>
  <c r="BC2" i="14"/>
  <c r="BA3" i="14"/>
  <c r="DK10" i="14"/>
  <c r="CP2" i="14"/>
  <c r="CU10" i="14"/>
  <c r="CV10" i="14" s="1"/>
  <c r="DK9" i="14"/>
  <c r="CT9" i="14"/>
  <c r="BC9" i="14"/>
  <c r="BG2" i="14"/>
  <c r="BK2" i="14"/>
  <c r="CM6" i="14"/>
  <c r="CL6" i="14" s="1"/>
  <c r="CN6" i="14"/>
  <c r="BR8" i="14"/>
  <c r="CW4" i="14"/>
  <c r="BQ8" i="14"/>
  <c r="CD8" i="14" s="1"/>
  <c r="BP8" i="14"/>
  <c r="R8" i="14"/>
  <c r="R11" i="14"/>
  <c r="S11" i="14"/>
  <c r="V2" i="14"/>
  <c r="CU4" i="14"/>
  <c r="CV4" i="14" s="1"/>
  <c r="BL6" i="14"/>
  <c r="BM6" i="14" s="1"/>
  <c r="BV4" i="14"/>
  <c r="BG11" i="14"/>
  <c r="BI11" i="14"/>
  <c r="AW4" i="14"/>
  <c r="AX4" i="14" s="1"/>
  <c r="R4" i="14"/>
  <c r="BQ4" i="14"/>
  <c r="CD4" i="14" s="1"/>
  <c r="BV11" i="14"/>
  <c r="BA11" i="14"/>
  <c r="BC11" i="14"/>
  <c r="BP4" i="14"/>
  <c r="CI6" i="14"/>
  <c r="BT11" i="14"/>
  <c r="BN4" i="14"/>
  <c r="DC11" i="14"/>
  <c r="BR11" i="14"/>
  <c r="BN6" i="14"/>
  <c r="AS6" i="14"/>
  <c r="BQ11" i="14"/>
  <c r="CD11" i="14" s="1"/>
  <c r="AV11" i="14"/>
  <c r="CF11" i="14"/>
  <c r="BI4" i="14"/>
  <c r="AA10" i="15"/>
  <c r="DO10" i="15"/>
  <c r="DP10" i="15"/>
  <c r="CE10" i="15"/>
  <c r="CQ10" i="15"/>
  <c r="CT10" i="15"/>
  <c r="DG10" i="15"/>
  <c r="CI10" i="15"/>
  <c r="AX10" i="15"/>
  <c r="P10" i="15"/>
  <c r="ED10" i="15"/>
  <c r="AU10" i="15"/>
  <c r="AE10" i="15"/>
  <c r="BY10" i="15"/>
  <c r="AI10" i="15"/>
  <c r="BE10" i="15"/>
  <c r="BV10" i="15"/>
  <c r="BF10" i="15"/>
  <c r="DD10" i="15"/>
  <c r="Y10" i="15"/>
  <c r="AS10" i="15"/>
  <c r="AB10" i="15"/>
  <c r="S10" i="15"/>
  <c r="AQ10" i="15" s="1"/>
  <c r="T10" i="15"/>
  <c r="V10" i="15"/>
  <c r="DV10" i="15"/>
  <c r="AR10" i="15"/>
  <c r="CN10" i="15"/>
  <c r="BW10" i="15"/>
  <c r="CL10" i="15" l="1"/>
  <c r="AC10" i="15"/>
  <c r="AW9" i="14"/>
  <c r="AX9" i="14" s="1"/>
  <c r="CW11" i="14"/>
  <c r="CX11" i="14" s="1"/>
  <c r="CW10" i="15"/>
  <c r="CO10" i="15"/>
  <c r="CU6" i="14"/>
  <c r="CV6" i="14" s="1"/>
  <c r="CW6" i="14"/>
  <c r="CX6" i="14" s="1"/>
  <c r="CU11" i="14"/>
  <c r="CV11" i="14" s="1"/>
  <c r="AW11" i="14"/>
  <c r="AX11" i="14" s="1"/>
  <c r="AW7" i="14"/>
  <c r="AX7" i="14" s="1"/>
  <c r="CU9" i="14"/>
  <c r="CV9" i="14" s="1"/>
  <c r="AW8" i="14"/>
  <c r="AX8" i="14" s="1"/>
  <c r="AT8" i="14"/>
  <c r="AT6" i="14"/>
  <c r="AW6" i="14"/>
  <c r="AX6" i="14" s="1"/>
  <c r="CB2" i="14"/>
  <c r="CU2" i="14"/>
  <c r="CV2" i="14" s="1"/>
  <c r="CB7" i="14"/>
  <c r="CU7" i="14"/>
  <c r="CV7" i="14" s="1"/>
  <c r="CY10" i="14"/>
  <c r="CX10" i="14"/>
  <c r="CX8" i="14"/>
  <c r="CY8" i="14"/>
  <c r="AT3" i="14"/>
  <c r="AW3" i="14"/>
  <c r="AX3" i="14" s="1"/>
  <c r="CX4" i="14"/>
  <c r="CY4" i="14"/>
  <c r="CY3" i="14"/>
  <c r="CW9" i="14"/>
  <c r="CC9" i="14"/>
  <c r="CY6" i="14" l="1"/>
  <c r="CY11" i="14"/>
  <c r="CX9" i="14"/>
  <c r="CY9" i="14"/>
  <c r="CC7" i="14"/>
  <c r="CW7" i="14"/>
  <c r="CW2" i="14"/>
  <c r="CC2" i="14"/>
  <c r="A2" i="15"/>
  <c r="A3" i="15"/>
  <c r="A4" i="15"/>
  <c r="A5" i="15"/>
  <c r="A6" i="15"/>
  <c r="A7" i="15"/>
  <c r="A8" i="15"/>
  <c r="A9" i="15"/>
  <c r="A10" i="15"/>
  <c r="A11" i="15"/>
  <c r="R7" i="18"/>
  <c r="R5" i="18"/>
  <c r="R6" i="18"/>
  <c r="R9" i="18"/>
  <c r="R3" i="18"/>
  <c r="R11" i="18"/>
  <c r="R8" i="18"/>
  <c r="R2" i="18"/>
  <c r="R10" i="18"/>
  <c r="R12" i="18"/>
  <c r="X11" i="18"/>
  <c r="S11" i="18" s="1"/>
  <c r="X9" i="18"/>
  <c r="S9" i="18" s="1"/>
  <c r="X5" i="18"/>
  <c r="S5" i="18" s="1"/>
  <c r="X2" i="18"/>
  <c r="S2" i="18" s="1"/>
  <c r="X4" i="18"/>
  <c r="S4" i="18" s="1"/>
  <c r="X3" i="18"/>
  <c r="S3" i="18" s="1"/>
  <c r="X7" i="18"/>
  <c r="S7" i="18" s="1"/>
  <c r="X12" i="18"/>
  <c r="S12" i="18" s="1"/>
  <c r="X6" i="18"/>
  <c r="S6" i="18" s="1"/>
  <c r="X8" i="18"/>
  <c r="S8" i="18" s="1"/>
  <c r="X10" i="18"/>
  <c r="S10" i="18" s="1"/>
  <c r="J6" i="18"/>
  <c r="J3" i="18"/>
  <c r="J12" i="18"/>
  <c r="J2" i="18"/>
  <c r="J7" i="18"/>
  <c r="J8" i="18"/>
  <c r="J10" i="18"/>
  <c r="J4" i="18"/>
  <c r="J5" i="18"/>
  <c r="J11" i="18"/>
  <c r="J9" i="18"/>
  <c r="K8" i="11" l="1"/>
  <c r="G4" i="19"/>
  <c r="G9" i="19"/>
  <c r="G7" i="19"/>
  <c r="G2" i="19"/>
  <c r="G3" i="19"/>
  <c r="G6" i="19"/>
  <c r="G10" i="19"/>
  <c r="G8" i="19"/>
  <c r="G5" i="19"/>
  <c r="G11" i="19"/>
  <c r="CX7" i="14"/>
  <c r="CY7" i="14"/>
  <c r="CY2" i="14"/>
  <c r="CX2" i="14"/>
  <c r="BB10" i="18"/>
  <c r="BB7" i="18"/>
  <c r="BB6" i="18"/>
  <c r="BB3" i="18"/>
  <c r="BB2" i="18"/>
  <c r="BB12" i="18"/>
  <c r="BB11" i="18"/>
  <c r="BB5" i="18"/>
  <c r="BB4" i="18"/>
  <c r="BB9" i="18"/>
  <c r="BB8" i="18"/>
  <c r="BA10" i="18"/>
  <c r="BA7" i="18"/>
  <c r="BA6" i="18"/>
  <c r="BA3" i="18"/>
  <c r="BA2" i="18"/>
  <c r="BA12" i="18"/>
  <c r="BA11" i="18"/>
  <c r="BA5" i="18"/>
  <c r="BA4" i="18"/>
  <c r="BA9" i="18"/>
  <c r="BA8" i="18"/>
  <c r="Z10" i="18"/>
  <c r="Z7" i="18"/>
  <c r="Z6" i="18"/>
  <c r="Z3" i="18"/>
  <c r="Z2" i="18"/>
  <c r="Z12" i="18"/>
  <c r="Z11" i="18"/>
  <c r="Z5" i="18"/>
  <c r="Z4" i="18"/>
  <c r="Z9" i="18"/>
  <c r="Z8" i="18"/>
  <c r="BD10" i="18"/>
  <c r="BD7" i="18"/>
  <c r="BD6" i="18"/>
  <c r="BD3" i="18"/>
  <c r="BD2" i="18"/>
  <c r="BD12" i="18"/>
  <c r="BD11" i="18"/>
  <c r="BD5" i="18"/>
  <c r="BD4" i="18"/>
  <c r="BD9" i="18"/>
  <c r="BD8" i="18"/>
  <c r="AY8" i="18"/>
  <c r="AV10" i="18"/>
  <c r="AV7" i="18"/>
  <c r="AV6" i="18"/>
  <c r="AV3" i="18"/>
  <c r="AV2" i="18"/>
  <c r="AV12" i="18"/>
  <c r="AV11" i="18"/>
  <c r="AV5" i="18"/>
  <c r="AV4" i="18"/>
  <c r="AV9" i="18"/>
  <c r="AV8" i="18"/>
  <c r="AT10" i="18"/>
  <c r="AT7" i="18"/>
  <c r="AT6" i="18"/>
  <c r="AT3" i="18"/>
  <c r="AT2" i="18"/>
  <c r="AT12" i="18"/>
  <c r="AT11" i="18"/>
  <c r="AT5" i="18"/>
  <c r="AT4" i="18"/>
  <c r="AT9" i="18"/>
  <c r="AT8" i="18"/>
  <c r="C2" i="18"/>
  <c r="D2" i="18" s="1"/>
  <c r="AD8" i="18"/>
  <c r="AI5" i="14"/>
  <c r="CH5" i="14"/>
  <c r="CG5" i="14"/>
  <c r="AU5" i="14"/>
  <c r="DF5" i="14" s="1"/>
  <c r="AQ5" i="14"/>
  <c r="AS5" i="14" s="1"/>
  <c r="B5" i="14"/>
  <c r="C5" i="14"/>
  <c r="D5" i="14"/>
  <c r="E5" i="14"/>
  <c r="F5" i="14"/>
  <c r="G5" i="14"/>
  <c r="H5" i="14"/>
  <c r="I5" i="14"/>
  <c r="J5" i="14"/>
  <c r="L5" i="14"/>
  <c r="BB5" i="14" s="1"/>
  <c r="M5" i="14"/>
  <c r="N5" i="14" s="1"/>
  <c r="O5" i="14"/>
  <c r="P5" i="14"/>
  <c r="Q5" i="14"/>
  <c r="T5" i="14"/>
  <c r="U5" i="14"/>
  <c r="AY5" i="14"/>
  <c r="AZ5" i="14" s="1"/>
  <c r="BH5" i="14"/>
  <c r="BJ5" i="14"/>
  <c r="BO5" i="14"/>
  <c r="BS5" i="14"/>
  <c r="BU5" i="14"/>
  <c r="BX5" i="14"/>
  <c r="BY5" i="14"/>
  <c r="BZ5" i="14"/>
  <c r="CE5" i="14"/>
  <c r="CJ5" i="14"/>
  <c r="CK5" i="14"/>
  <c r="CO5" i="14"/>
  <c r="CQ5" i="14"/>
  <c r="CR5" i="14"/>
  <c r="CS5" i="14"/>
  <c r="DB5" i="14"/>
  <c r="DD5" i="14"/>
  <c r="DE5" i="14"/>
  <c r="BD5" i="14"/>
  <c r="BF5" i="14"/>
  <c r="DH5" i="14"/>
  <c r="DJ5" i="14"/>
  <c r="DL5" i="14"/>
  <c r="DN5" i="14"/>
  <c r="DO5" i="14"/>
  <c r="J4" i="6" l="1"/>
  <c r="J2" i="6"/>
  <c r="J3" i="6"/>
  <c r="J5" i="6"/>
  <c r="J10" i="6"/>
  <c r="J8" i="6"/>
  <c r="J7" i="6"/>
  <c r="J11" i="6"/>
  <c r="J9" i="6"/>
  <c r="J6" i="6"/>
  <c r="CT5" i="14"/>
  <c r="AN5" i="14"/>
  <c r="AM5" i="14"/>
  <c r="AP5" i="14" s="1"/>
  <c r="BC8" i="18"/>
  <c r="BC2" i="18"/>
  <c r="BC11" i="18"/>
  <c r="BC9" i="18"/>
  <c r="BC4" i="18"/>
  <c r="BC3" i="18"/>
  <c r="BC5" i="18"/>
  <c r="BC6" i="18"/>
  <c r="BC7" i="18"/>
  <c r="BC12" i="18"/>
  <c r="BC10" i="18"/>
  <c r="BN5" i="14"/>
  <c r="CI5" i="14"/>
  <c r="DI5" i="14"/>
  <c r="DG5" i="14"/>
  <c r="CZ5" i="14"/>
  <c r="DA5" i="14" s="1"/>
  <c r="BG5" i="14"/>
  <c r="CN5" i="14"/>
  <c r="CF5" i="14"/>
  <c r="DC5" i="14"/>
  <c r="BP5" i="14"/>
  <c r="BV5" i="14"/>
  <c r="BT5" i="14"/>
  <c r="AT5" i="14"/>
  <c r="BK5" i="14"/>
  <c r="CP5" i="14"/>
  <c r="AV5" i="14"/>
  <c r="DM5" i="14"/>
  <c r="DK5" i="14"/>
  <c r="CM5" i="14"/>
  <c r="CL5" i="14" s="1"/>
  <c r="BQ5" i="14"/>
  <c r="CD5" i="14" s="1"/>
  <c r="BI5" i="14"/>
  <c r="AR5" i="14"/>
  <c r="BE5" i="14"/>
  <c r="BC5" i="14"/>
  <c r="CA5" i="14"/>
  <c r="CB5" i="14" s="1"/>
  <c r="CC5" i="14" s="1"/>
  <c r="AW5" i="14"/>
  <c r="AX5" i="14" s="1"/>
  <c r="V5" i="14"/>
  <c r="S5" i="14"/>
  <c r="BR5" i="14"/>
  <c r="R5" i="14"/>
  <c r="BW5" i="14"/>
  <c r="BL5" i="14"/>
  <c r="BM5" i="14" s="1"/>
  <c r="BA5" i="14"/>
  <c r="A2" i="6"/>
  <c r="A3" i="6"/>
  <c r="A4" i="6"/>
  <c r="A5" i="6"/>
  <c r="A6" i="6"/>
  <c r="I10" i="15" l="1"/>
  <c r="CW5" i="14"/>
  <c r="CX5" i="14" s="1"/>
  <c r="CU5" i="14"/>
  <c r="CV5" i="14" s="1"/>
  <c r="CY5" i="14" l="1"/>
  <c r="AH5" i="18" l="1"/>
  <c r="AD5" i="18"/>
  <c r="AY12" i="18"/>
  <c r="AY11" i="18"/>
  <c r="AY10" i="18"/>
  <c r="AY7" i="18"/>
  <c r="AY4" i="18"/>
  <c r="AY9" i="18"/>
  <c r="AY2" i="18"/>
  <c r="AY5" i="18"/>
  <c r="AY3" i="18"/>
  <c r="AY6" i="18"/>
  <c r="V4" i="18" l="1"/>
  <c r="U4" i="18"/>
  <c r="AH6" i="18"/>
  <c r="AG6" i="18"/>
  <c r="AD6" i="18"/>
  <c r="AX5" i="18" l="1"/>
  <c r="AX2" i="18"/>
  <c r="AX6" i="18"/>
  <c r="AX9" i="18"/>
  <c r="AX7" i="18"/>
  <c r="AX3" i="18"/>
  <c r="AX10" i="18"/>
  <c r="AX11" i="18"/>
  <c r="AX4" i="18"/>
  <c r="AX12" i="18"/>
  <c r="A6" i="18" l="1"/>
  <c r="U3" i="18" l="1"/>
  <c r="M4" i="18"/>
  <c r="M5" i="18"/>
  <c r="M12" i="18"/>
  <c r="M2" i="18"/>
  <c r="M9" i="18"/>
  <c r="M7" i="18"/>
  <c r="M10" i="18"/>
  <c r="M3" i="18"/>
  <c r="M8" i="18"/>
  <c r="M6" i="18"/>
  <c r="M11" i="18"/>
  <c r="A2" i="18" l="1"/>
  <c r="E8" i="18"/>
  <c r="L8" i="18"/>
  <c r="N8" i="18"/>
  <c r="U8" i="18"/>
  <c r="V8" i="18"/>
  <c r="AG8" i="18"/>
  <c r="AH8" i="18"/>
  <c r="AI8" i="18"/>
  <c r="AK8" i="18"/>
  <c r="AO8" i="18"/>
  <c r="AQ8" i="18"/>
  <c r="BF8" i="18"/>
  <c r="BH8" i="18"/>
  <c r="BJ8" i="18"/>
  <c r="A3" i="18"/>
  <c r="C3" i="18"/>
  <c r="E10" i="18"/>
  <c r="L10" i="18"/>
  <c r="N10" i="18"/>
  <c r="U10" i="18"/>
  <c r="V10" i="18"/>
  <c r="AD10" i="18"/>
  <c r="AG10" i="18"/>
  <c r="AH10" i="18"/>
  <c r="AI10" i="18"/>
  <c r="AK10" i="18"/>
  <c r="AO10" i="18"/>
  <c r="AQ10" i="18"/>
  <c r="BF10" i="18"/>
  <c r="BH10" i="18"/>
  <c r="BJ10" i="18"/>
  <c r="A4" i="18"/>
  <c r="C4" i="18"/>
  <c r="E2" i="18"/>
  <c r="L2" i="18"/>
  <c r="N2" i="18"/>
  <c r="U2" i="18"/>
  <c r="V2" i="18"/>
  <c r="AD2" i="18"/>
  <c r="AG2" i="18"/>
  <c r="AH2" i="18"/>
  <c r="AI2" i="18"/>
  <c r="AK2" i="18"/>
  <c r="AO2" i="18"/>
  <c r="AQ2" i="18"/>
  <c r="BF2" i="18"/>
  <c r="BH2" i="18"/>
  <c r="BJ2" i="18"/>
  <c r="A5" i="18"/>
  <c r="C5" i="18"/>
  <c r="E11" i="18"/>
  <c r="L11" i="18"/>
  <c r="N11" i="18"/>
  <c r="U11" i="18"/>
  <c r="V11" i="18"/>
  <c r="AD11" i="18"/>
  <c r="AG11" i="18"/>
  <c r="AH11" i="18"/>
  <c r="AI11" i="18"/>
  <c r="AK11" i="18"/>
  <c r="AO11" i="18"/>
  <c r="AQ11" i="18"/>
  <c r="BF11" i="18"/>
  <c r="BH11" i="18"/>
  <c r="BJ11" i="18"/>
  <c r="C6" i="18"/>
  <c r="E5" i="18"/>
  <c r="L5" i="18"/>
  <c r="N5" i="18"/>
  <c r="U5" i="18"/>
  <c r="V5" i="18"/>
  <c r="AG5" i="18"/>
  <c r="AI5" i="18"/>
  <c r="AK5" i="18"/>
  <c r="AO5" i="18"/>
  <c r="AQ5" i="18"/>
  <c r="BF5" i="18"/>
  <c r="BH5" i="18"/>
  <c r="BJ5" i="18"/>
  <c r="A7" i="18"/>
  <c r="C7" i="18"/>
  <c r="E4" i="18"/>
  <c r="L4" i="18"/>
  <c r="N4" i="18"/>
  <c r="R4" i="18"/>
  <c r="AD4" i="18"/>
  <c r="AG4" i="18"/>
  <c r="AH4" i="18"/>
  <c r="AI4" i="18"/>
  <c r="AK4" i="18"/>
  <c r="AO4" i="18"/>
  <c r="AQ4" i="18"/>
  <c r="BF4" i="18"/>
  <c r="BH4" i="18"/>
  <c r="BJ4" i="18"/>
  <c r="A8" i="18"/>
  <c r="C8" i="18"/>
  <c r="E9" i="18"/>
  <c r="L9" i="18"/>
  <c r="N9" i="18"/>
  <c r="U9" i="18"/>
  <c r="V9" i="18"/>
  <c r="AD9" i="18"/>
  <c r="AG9" i="18"/>
  <c r="AH9" i="18"/>
  <c r="AI9" i="18"/>
  <c r="AK9" i="18"/>
  <c r="AO9" i="18"/>
  <c r="AQ9" i="18"/>
  <c r="BF9" i="18"/>
  <c r="BH9" i="18"/>
  <c r="BJ9" i="18"/>
  <c r="A9" i="18"/>
  <c r="C9" i="18"/>
  <c r="E12" i="18"/>
  <c r="L12" i="18"/>
  <c r="N12" i="18"/>
  <c r="U12" i="18"/>
  <c r="V12" i="18"/>
  <c r="AD12" i="18"/>
  <c r="AG12" i="18"/>
  <c r="AH12" i="18"/>
  <c r="AI12" i="18"/>
  <c r="AK12" i="18"/>
  <c r="AO12" i="18"/>
  <c r="AQ12" i="18"/>
  <c r="BF12" i="18"/>
  <c r="BH12" i="18"/>
  <c r="BJ12" i="18"/>
  <c r="A10" i="18"/>
  <c r="C10" i="18"/>
  <c r="E7" i="18"/>
  <c r="L7" i="18"/>
  <c r="N7" i="18"/>
  <c r="U7" i="18"/>
  <c r="V7" i="18"/>
  <c r="AD7" i="18"/>
  <c r="AG7" i="18"/>
  <c r="AH7" i="18"/>
  <c r="AI7" i="18"/>
  <c r="AK7" i="18"/>
  <c r="AO7" i="18"/>
  <c r="AQ7" i="18"/>
  <c r="BF7" i="18"/>
  <c r="BH7" i="18"/>
  <c r="BJ7" i="18"/>
  <c r="A11" i="18"/>
  <c r="C11" i="18"/>
  <c r="E3" i="18"/>
  <c r="L3" i="18"/>
  <c r="N3" i="18"/>
  <c r="V3" i="18"/>
  <c r="AD3" i="18"/>
  <c r="AG3" i="18"/>
  <c r="AH3" i="18"/>
  <c r="AI3" i="18"/>
  <c r="AK3" i="18"/>
  <c r="AO3" i="18"/>
  <c r="AQ3" i="18"/>
  <c r="BF3" i="18"/>
  <c r="BH3" i="18"/>
  <c r="BJ3" i="18"/>
  <c r="A12" i="18"/>
  <c r="C12" i="18"/>
  <c r="E6" i="18"/>
  <c r="L6" i="18"/>
  <c r="N6" i="18"/>
  <c r="U6" i="18"/>
  <c r="V6" i="18"/>
  <c r="AI6" i="18"/>
  <c r="AK6" i="18"/>
  <c r="AO6" i="18"/>
  <c r="AQ6" i="18"/>
  <c r="BF6" i="18"/>
  <c r="BH6" i="18"/>
  <c r="BJ6" i="18"/>
  <c r="D14" i="18"/>
  <c r="O8" i="18" l="1"/>
  <c r="D4" i="18"/>
  <c r="O7" i="18"/>
  <c r="D10" i="18"/>
  <c r="O5" i="18"/>
  <c r="D7" i="18"/>
  <c r="O2" i="18"/>
  <c r="D8" i="18"/>
  <c r="O12" i="18"/>
  <c r="D6" i="18"/>
  <c r="O3" i="18"/>
  <c r="D3" i="18"/>
  <c r="O10" i="18"/>
  <c r="D9" i="18"/>
  <c r="O11" i="18"/>
  <c r="D12" i="18"/>
  <c r="K12" i="18" s="1"/>
  <c r="O9" i="18"/>
  <c r="D5" i="18"/>
  <c r="O6" i="18"/>
  <c r="D11" i="18"/>
  <c r="O4" i="18"/>
  <c r="AB4" i="18"/>
  <c r="AM5" i="18"/>
  <c r="AM8" i="18"/>
  <c r="AM3" i="18"/>
  <c r="AM11" i="18"/>
  <c r="AM10" i="18"/>
  <c r="AM7" i="18"/>
  <c r="AM4" i="18"/>
  <c r="AM2" i="18"/>
  <c r="AM12" i="18"/>
  <c r="AM6" i="18"/>
  <c r="AM9" i="18"/>
  <c r="W8" i="18"/>
  <c r="W10" i="18"/>
  <c r="D22" i="18"/>
  <c r="AB11" i="18"/>
  <c r="W3" i="18"/>
  <c r="W4" i="18"/>
  <c r="AB2" i="18"/>
  <c r="W9" i="18"/>
  <c r="AS4" i="18"/>
  <c r="AS11" i="18"/>
  <c r="AS3" i="18"/>
  <c r="AB5" i="18"/>
  <c r="AS12" i="18"/>
  <c r="AB9" i="18"/>
  <c r="W5" i="18"/>
  <c r="W6" i="18"/>
  <c r="AB12" i="18"/>
  <c r="AS8" i="18"/>
  <c r="W12" i="18"/>
  <c r="AS6" i="18"/>
  <c r="AB8" i="18"/>
  <c r="AS7" i="18"/>
  <c r="AB10" i="18"/>
  <c r="D19" i="18"/>
  <c r="W2" i="18"/>
  <c r="AB3" i="18"/>
  <c r="W11" i="18"/>
  <c r="AB7" i="18"/>
  <c r="AB6" i="18"/>
  <c r="W7" i="18"/>
  <c r="AS2" i="18"/>
  <c r="AS10" i="18"/>
  <c r="AS5" i="18"/>
  <c r="AS9" i="18"/>
  <c r="F7" i="18" l="1"/>
  <c r="H11" i="18"/>
  <c r="K4" i="18"/>
  <c r="Q7" i="18"/>
  <c r="K7" i="18"/>
  <c r="Q8" i="18"/>
  <c r="K8" i="18"/>
  <c r="Q11" i="18"/>
  <c r="K11" i="18"/>
  <c r="Q9" i="18"/>
  <c r="K9" i="18"/>
  <c r="Q3" i="18"/>
  <c r="K3" i="18"/>
  <c r="Q2" i="18"/>
  <c r="K2" i="18"/>
  <c r="Q6" i="18"/>
  <c r="K6" i="18"/>
  <c r="Q10" i="18"/>
  <c r="K10" i="18"/>
  <c r="Q5" i="18"/>
  <c r="K5" i="18"/>
  <c r="BG12" i="18"/>
  <c r="Q12" i="18"/>
  <c r="AC5" i="18"/>
  <c r="P9" i="18"/>
  <c r="BI11" i="18"/>
  <c r="AJ9" i="18"/>
  <c r="AU10" i="18"/>
  <c r="AU12" i="18"/>
  <c r="T7" i="18"/>
  <c r="AA7" i="18"/>
  <c r="AL2" i="18"/>
  <c r="AC4" i="18"/>
  <c r="BI5" i="18"/>
  <c r="AU4" i="18"/>
  <c r="F4" i="18"/>
  <c r="AA12" i="18"/>
  <c r="BI4" i="18"/>
  <c r="H4" i="18"/>
  <c r="AJ5" i="18"/>
  <c r="BE5" i="18"/>
  <c r="AU5" i="18"/>
  <c r="F5" i="18"/>
  <c r="P5" i="18"/>
  <c r="AE5" i="18"/>
  <c r="BG5" i="18"/>
  <c r="AF5" i="18"/>
  <c r="AA5" i="18"/>
  <c r="T5" i="18"/>
  <c r="AL5" i="18"/>
  <c r="AP5" i="18"/>
  <c r="AZ5" i="18"/>
  <c r="AW5" i="18"/>
  <c r="G5" i="18"/>
  <c r="H5" i="18"/>
  <c r="AA4" i="18"/>
  <c r="AR4" i="18"/>
  <c r="AW4" i="18"/>
  <c r="Y12" i="18"/>
  <c r="Q4" i="18"/>
  <c r="BE8" i="18"/>
  <c r="BG8" i="18"/>
  <c r="T4" i="18"/>
  <c r="BG2" i="18"/>
  <c r="AJ4" i="18"/>
  <c r="AF4" i="18"/>
  <c r="AJ8" i="18"/>
  <c r="P8" i="18"/>
  <c r="AA8" i="18"/>
  <c r="AZ2" i="18"/>
  <c r="AZ4" i="18"/>
  <c r="AL4" i="18"/>
  <c r="AZ8" i="18"/>
  <c r="AC8" i="18"/>
  <c r="T8" i="18"/>
  <c r="AP4" i="18"/>
  <c r="AE8" i="18"/>
  <c r="AF8" i="18"/>
  <c r="H8" i="18"/>
  <c r="AR8" i="18"/>
  <c r="G8" i="18"/>
  <c r="AL8" i="18"/>
  <c r="P4" i="18"/>
  <c r="AE4" i="18"/>
  <c r="BI12" i="18"/>
  <c r="T3" i="18"/>
  <c r="Y6" i="18"/>
  <c r="AU3" i="18"/>
  <c r="Y7" i="18"/>
  <c r="BE7" i="18"/>
  <c r="AU7" i="18"/>
  <c r="BG6" i="18"/>
  <c r="P7" i="18"/>
  <c r="AC7" i="18"/>
  <c r="F6" i="18"/>
  <c r="F8" i="18"/>
  <c r="BI8" i="18"/>
  <c r="AF7" i="18"/>
  <c r="AW7" i="18"/>
  <c r="AF3" i="18"/>
  <c r="AP8" i="18"/>
  <c r="AA6" i="18"/>
  <c r="AF6" i="18"/>
  <c r="AR6" i="18"/>
  <c r="AC6" i="18"/>
  <c r="AE6" i="18"/>
  <c r="AZ7" i="18"/>
  <c r="AP6" i="18"/>
  <c r="BI7" i="18"/>
  <c r="H7" i="18"/>
  <c r="AW6" i="18"/>
  <c r="AE7" i="18"/>
  <c r="AZ6" i="18"/>
  <c r="T6" i="18"/>
  <c r="AW2" i="18"/>
  <c r="AR7" i="18"/>
  <c r="G6" i="18"/>
  <c r="Y4" i="18"/>
  <c r="AW8" i="18"/>
  <c r="AU8" i="18"/>
  <c r="AU6" i="18"/>
  <c r="G7" i="18"/>
  <c r="BE6" i="18"/>
  <c r="AJ6" i="18"/>
  <c r="AP7" i="18"/>
  <c r="AJ7" i="18"/>
  <c r="AL6" i="18"/>
  <c r="BI6" i="18"/>
  <c r="P6" i="18"/>
  <c r="BG7" i="18"/>
  <c r="AL7" i="18"/>
  <c r="H6" i="18"/>
  <c r="Y8" i="18"/>
  <c r="T2" i="18"/>
  <c r="BE2" i="18"/>
  <c r="AZ12" i="18"/>
  <c r="P12" i="18"/>
  <c r="AF2" i="18"/>
  <c r="F12" i="18"/>
  <c r="AE2" i="18"/>
  <c r="BE4" i="18"/>
  <c r="P10" i="18"/>
  <c r="BG4" i="18"/>
  <c r="G4" i="18"/>
  <c r="AR5" i="18"/>
  <c r="G2" i="18"/>
  <c r="AE12" i="18"/>
  <c r="AW3" i="18"/>
  <c r="AU2" i="18"/>
  <c r="AC3" i="18"/>
  <c r="AP3" i="18"/>
  <c r="AJ12" i="18"/>
  <c r="AL12" i="18"/>
  <c r="H10" i="18"/>
  <c r="G10" i="18"/>
  <c r="P3" i="18"/>
  <c r="P2" i="18"/>
  <c r="H3" i="18"/>
  <c r="H12" i="18"/>
  <c r="BI2" i="18"/>
  <c r="P11" i="18"/>
  <c r="AJ11" i="18"/>
  <c r="F10" i="18"/>
  <c r="BE3" i="18"/>
  <c r="AP10" i="18"/>
  <c r="T10" i="18"/>
  <c r="AL3" i="18"/>
  <c r="AE11" i="18"/>
  <c r="BG3" i="18"/>
  <c r="BG10" i="18"/>
  <c r="AW11" i="18"/>
  <c r="BI10" i="18"/>
  <c r="BE10" i="18"/>
  <c r="BI3" i="18"/>
  <c r="H2" i="18"/>
  <c r="AR2" i="18"/>
  <c r="AC12" i="18"/>
  <c r="AC2" i="18"/>
  <c r="Y5" i="18"/>
  <c r="AU9" i="18"/>
  <c r="BG11" i="18"/>
  <c r="AF9" i="18"/>
  <c r="AR11" i="18"/>
  <c r="Y10" i="18"/>
  <c r="AR12" i="18"/>
  <c r="AE9" i="18"/>
  <c r="G12" i="18"/>
  <c r="AW10" i="18"/>
  <c r="BG9" i="18"/>
  <c r="H9" i="18"/>
  <c r="AC10" i="18"/>
  <c r="AP12" i="18"/>
  <c r="AF10" i="18"/>
  <c r="AW12" i="18"/>
  <c r="T12" i="18"/>
  <c r="F2" i="18"/>
  <c r="AJ2" i="18"/>
  <c r="Y11" i="18"/>
  <c r="AF11" i="18"/>
  <c r="AL10" i="18"/>
  <c r="AW9" i="18"/>
  <c r="AR3" i="18"/>
  <c r="AF12" i="18"/>
  <c r="AP2" i="18"/>
  <c r="Y3" i="18"/>
  <c r="G9" i="18"/>
  <c r="AC11" i="18"/>
  <c r="F9" i="18"/>
  <c r="AZ9" i="18"/>
  <c r="T11" i="18"/>
  <c r="AZ10" i="18"/>
  <c r="AL11" i="18"/>
  <c r="AA11" i="18"/>
  <c r="AZ11" i="18"/>
  <c r="AP9" i="18"/>
  <c r="AC9" i="18"/>
  <c r="AR9" i="18"/>
  <c r="AJ3" i="18"/>
  <c r="G3" i="18"/>
  <c r="BE11" i="18"/>
  <c r="AA10" i="18"/>
  <c r="AZ3" i="18"/>
  <c r="AJ10" i="18"/>
  <c r="AA9" i="18"/>
  <c r="AL9" i="18"/>
  <c r="F3" i="18"/>
  <c r="BE12" i="18"/>
  <c r="Y9" i="18"/>
  <c r="AA2" i="18"/>
  <c r="F11" i="18"/>
  <c r="AE10" i="18"/>
  <c r="BE9" i="18"/>
  <c r="T9" i="18"/>
  <c r="AE3" i="18"/>
  <c r="AR10" i="18"/>
  <c r="Y2" i="18"/>
  <c r="AA3" i="18"/>
  <c r="G11" i="18"/>
  <c r="AU11" i="18"/>
  <c r="AP11" i="18"/>
  <c r="BI9" i="18"/>
  <c r="AN9" i="18" l="1"/>
  <c r="AN8" i="18"/>
  <c r="AN2" i="18"/>
  <c r="I12" i="18"/>
  <c r="I4" i="18"/>
  <c r="I8" i="18"/>
  <c r="I5" i="18"/>
  <c r="AN5" i="18"/>
  <c r="AN4" i="18"/>
  <c r="AN12" i="18"/>
  <c r="I6" i="18"/>
  <c r="I7" i="18"/>
  <c r="AN6" i="18"/>
  <c r="AN7" i="18"/>
  <c r="I2" i="18"/>
  <c r="I10" i="18"/>
  <c r="AN11" i="18"/>
  <c r="I9" i="18"/>
  <c r="D16" i="18"/>
  <c r="D21" i="18"/>
  <c r="D20" i="18"/>
  <c r="AN10" i="18"/>
  <c r="B20" i="18"/>
  <c r="B16" i="18"/>
  <c r="D18" i="18"/>
  <c r="D17" i="18"/>
  <c r="B21" i="18"/>
  <c r="B18" i="18"/>
  <c r="I11" i="18"/>
  <c r="D15" i="18"/>
  <c r="B15" i="18"/>
  <c r="B19" i="18"/>
  <c r="B22" i="18"/>
  <c r="AN3" i="18"/>
  <c r="I3" i="18"/>
  <c r="B17" i="18" l="1"/>
  <c r="K6" i="14" l="1"/>
  <c r="K4" i="14"/>
  <c r="K9" i="14"/>
  <c r="K11" i="14"/>
  <c r="K2" i="14"/>
  <c r="K8" i="14"/>
  <c r="K10" i="14"/>
  <c r="K3" i="14"/>
  <c r="K7" i="14"/>
  <c r="K5" i="14"/>
  <c r="AX8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</authors>
  <commentList>
    <comment ref="BF1" authorId="0" shapeId="0" xr:uid="{25326FD7-7603-439F-B026-4FCD331AF9E1}">
      <text>
        <r>
          <rPr>
            <b/>
            <sz val="9"/>
            <color indexed="81"/>
            <rFont val="Segoe UI"/>
            <family val="2"/>
          </rPr>
          <t>Mais um cálculo Moneyball-Mustermann.
É um cálculo que mede o "xG defendido por jogo" dividido pela "quantidade de clean sheets a cada 90 minutos".
Combinada com a métrica Expected Goals Prevented pode te entregar um goleiro de elite.</t>
        </r>
      </text>
    </comment>
    <comment ref="BG1" authorId="0" shapeId="0" xr:uid="{5DA1E79E-4736-4538-9696-4A6CD67AD7C7}">
      <text>
        <r>
          <rPr>
            <b/>
            <sz val="9"/>
            <color indexed="81"/>
            <rFont val="Segoe UI"/>
            <family val="2"/>
          </rPr>
          <t xml:space="preserve">O xGP ou Expected Goals Prevented </t>
        </r>
        <r>
          <rPr>
            <sz val="9"/>
            <color indexed="81"/>
            <rFont val="Segoe UI"/>
            <family val="2"/>
          </rPr>
          <t xml:space="preserve">é uma relação entre </t>
        </r>
        <r>
          <rPr>
            <b/>
            <sz val="9"/>
            <color indexed="81"/>
            <rFont val="Segoe UI"/>
            <family val="2"/>
          </rPr>
          <t>Clean Sheets (Sem gol)</t>
        </r>
        <r>
          <rPr>
            <sz val="9"/>
            <color indexed="81"/>
            <rFont val="Segoe UI"/>
            <family val="2"/>
          </rPr>
          <t xml:space="preserve"> e os </t>
        </r>
        <r>
          <rPr>
            <b/>
            <sz val="9"/>
            <color indexed="81"/>
            <rFont val="Segoe UI"/>
            <family val="2"/>
          </rPr>
          <t>xG defendidos</t>
        </r>
        <r>
          <rPr>
            <sz val="9"/>
            <color indexed="81"/>
            <rFont val="Segoe UI"/>
            <family val="2"/>
          </rPr>
          <t>.</t>
        </r>
        <r>
          <rPr>
            <b/>
            <sz val="9"/>
            <color indexed="81"/>
            <rFont val="Segoe UI"/>
            <family val="2"/>
          </rPr>
          <t xml:space="preserve">
Por exemplo: 
</t>
        </r>
        <r>
          <rPr>
            <sz val="9"/>
            <color indexed="81"/>
            <rFont val="Segoe UI"/>
            <family val="2"/>
          </rPr>
          <t>Se um goleiro enfrenta</t>
        </r>
        <r>
          <rPr>
            <b/>
            <sz val="9"/>
            <color indexed="81"/>
            <rFont val="Segoe UI"/>
            <family val="2"/>
          </rPr>
          <t xml:space="preserve"> 1.0 xG</t>
        </r>
        <r>
          <rPr>
            <sz val="9"/>
            <color indexed="81"/>
            <rFont val="Segoe UI"/>
            <family val="2"/>
          </rPr>
          <t xml:space="preserve"> por 90 minutos mas previne </t>
        </r>
        <r>
          <rPr>
            <b/>
            <sz val="9"/>
            <color indexed="81"/>
            <rFont val="Segoe UI"/>
            <family val="2"/>
          </rPr>
          <t>0.2</t>
        </r>
        <r>
          <rPr>
            <sz val="9"/>
            <color indexed="81"/>
            <rFont val="Segoe UI"/>
            <family val="2"/>
          </rPr>
          <t xml:space="preserve"> de</t>
        </r>
        <r>
          <rPr>
            <b/>
            <sz val="9"/>
            <color indexed="81"/>
            <rFont val="Segoe UI"/>
            <family val="2"/>
          </rPr>
          <t xml:space="preserve"> xG</t>
        </r>
        <r>
          <rPr>
            <sz val="9"/>
            <color indexed="81"/>
            <rFont val="Segoe UI"/>
            <family val="2"/>
          </rPr>
          <t xml:space="preserve">, ele preveniu </t>
        </r>
        <r>
          <rPr>
            <b/>
            <sz val="9"/>
            <color indexed="81"/>
            <rFont val="Segoe UI"/>
            <family val="2"/>
          </rPr>
          <t>20%</t>
        </r>
        <r>
          <rPr>
            <sz val="9"/>
            <color indexed="81"/>
            <rFont val="Segoe UI"/>
            <family val="2"/>
          </rPr>
          <t xml:space="preserve"> então o cálculo será </t>
        </r>
        <r>
          <rPr>
            <b/>
            <sz val="9"/>
            <color indexed="81"/>
            <rFont val="Segoe UI"/>
            <family val="2"/>
          </rPr>
          <t>20%</t>
        </r>
        <r>
          <rPr>
            <sz val="9"/>
            <color indexed="81"/>
            <rFont val="Segoe UI"/>
            <family val="2"/>
          </rPr>
          <t xml:space="preserve">.
</t>
        </r>
        <r>
          <rPr>
            <b/>
            <sz val="9"/>
            <color indexed="81"/>
            <rFont val="Segoe UI"/>
            <family val="2"/>
          </rPr>
          <t>Nota: Não é um valor 100% preciso, mas ajuda a contextualizar a métrica.</t>
        </r>
        <r>
          <rPr>
            <sz val="9"/>
            <color indexed="81"/>
            <rFont val="Segoe UI"/>
            <family val="2"/>
          </rPr>
          <t xml:space="preserve">
Créditos a </t>
        </r>
        <r>
          <rPr>
            <b/>
            <sz val="9"/>
            <color indexed="81"/>
            <rFont val="Segoe UI"/>
            <family val="2"/>
          </rPr>
          <t>MustermannFM</t>
        </r>
        <r>
          <rPr>
            <sz val="9"/>
            <color indexed="81"/>
            <rFont val="Segoe UI"/>
            <family val="2"/>
          </rPr>
          <t xml:space="preserve"> por esse cálculo.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</authors>
  <commentList>
    <comment ref="AV1" authorId="0" shapeId="0" xr:uid="{E567B958-6D25-4C65-AF51-6798EA1969D1}">
      <text>
        <r>
          <rPr>
            <b/>
            <sz val="9"/>
            <color indexed="81"/>
            <rFont val="Segoe UI"/>
            <family val="2"/>
          </rPr>
          <t xml:space="preserve">Nota:
</t>
        </r>
        <r>
          <rPr>
            <sz val="9"/>
            <color indexed="81"/>
            <rFont val="Segoe UI"/>
            <family val="2"/>
          </rPr>
          <t>Isso é uma estimativa. Não da pra ter 100% de certeza de quantos remates foram em cabeceio ou foram feitos com os pés.
Pode ter uma diferença de entre 5 a 15% para menos.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</authors>
  <commentList>
    <comment ref="CZ1" authorId="0" shapeId="0" xr:uid="{9DB25D38-98EB-49CC-BACD-8F05F80A168A}">
      <text>
        <r>
          <rPr>
            <b/>
            <sz val="9"/>
            <color indexed="81"/>
            <rFont val="Segoe UI"/>
            <family val="2"/>
          </rPr>
          <t>Uma métrica "Moneyball"
Quanto MENOR:
- melhor posicionamento
- menos corrida inútil
- leitura melhor
Porque ele intercepta mais sem precisar correr tanto.</t>
        </r>
      </text>
    </comment>
    <comment ref="DA1" authorId="0" shapeId="0" xr:uid="{51748500-4085-4F51-80CF-FBAC19E60B95}">
      <text>
        <r>
          <rPr>
            <b/>
            <sz val="9"/>
            <color indexed="81"/>
            <rFont val="Segoe UI"/>
            <family val="2"/>
          </rPr>
          <t>Uma métrica Moneyball.
Ajuda achar volante físico eficiente.
*Foque em volantes com mais km percorridos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  <author>Allan Ferracioli</author>
  </authors>
  <commentList>
    <comment ref="BB1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Desarmes certos + Pressões certas + Interceptações Feitas + Posse Conquistada</t>
        </r>
      </text>
    </comment>
    <comment ref="DF1" authorId="1" shapeId="0" xr:uid="{7DF87762-A113-40F4-AC09-B191672DA1AC}">
      <text>
        <r>
          <rPr>
            <b/>
            <sz val="9"/>
            <color indexed="81"/>
            <rFont val="Segoe UI"/>
            <family val="2"/>
          </rPr>
          <t>Assistências esperadas - Assistências reais
Quantidade de assistências que eram esperadas para se consolidarem, e que se consolidaram ou não.
Quando negativo: Ele tem assistências que não eram esperadas.
Quando positivo: Desperdiçaram chances que se converteriam em assistências.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  <author>Usuario</author>
  </authors>
  <commentList>
    <comment ref="V1" authorId="0" shapeId="0" xr:uid="{B8017AEC-5D93-4A9F-A679-532EF4156F71}">
      <text>
        <r>
          <rPr>
            <b/>
            <sz val="9"/>
            <color indexed="81"/>
            <rFont val="Segoe UI"/>
            <family val="2"/>
          </rPr>
          <t>Nota: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As bolas paradas podem ser:</t>
        </r>
        <r>
          <rPr>
            <sz val="9"/>
            <color indexed="81"/>
            <rFont val="Segoe UI"/>
            <family val="2"/>
          </rPr>
          <t xml:space="preserve">
- Laterais
- Escanteios
- Faltas (Livres)
Então não se limita apenas a escanteios.
Por isso podem haver casos de números bem elevados.</t>
        </r>
      </text>
    </comment>
    <comment ref="BN1" authorId="0" shapeId="0" xr:uid="{EF11CA76-042D-402A-BEBB-932F3D1576F5}">
      <text>
        <r>
          <rPr>
            <b/>
            <sz val="9"/>
            <color indexed="81"/>
            <rFont val="Segoe UI"/>
            <family val="2"/>
          </rPr>
          <t>Assistências esperadas - Assistências reais
Quantidade de assistências que eram esperadas para se consolidarem, e que se consolidaram ou não.
Quando negativo: Ele tem assistências que não eram esperadas.
Quando positivo: Desperdiçaram chances que se converteriam em assistências.</t>
        </r>
      </text>
    </comment>
    <comment ref="CE1" authorId="0" shapeId="0" xr:uid="{AA241735-68A0-4271-8C4F-AD1482166FF7}">
      <text>
        <r>
          <rPr>
            <b/>
            <sz val="9"/>
            <color indexed="81"/>
            <rFont val="Segoe UI"/>
            <family val="2"/>
          </rPr>
          <t>As vezes esses dados podem negativar. É erro do cálculo do jogo que diz que o jogador fez gols a menos do que ele mesmo aponta como gols que o jogador marcou de fora da área.
Exemplo:
Gols marcados: 0
Gols de fora da área: 1
Infelizmente é limitação da match engine.</t>
        </r>
      </text>
    </comment>
    <comment ref="CK1" authorId="1" shapeId="0" xr:uid="{00000000-0006-0000-0500-000001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CO1" authorId="1" shapeId="0" xr:uid="{00000000-0006-0000-0500-000002000000}">
      <text>
        <r>
          <rPr>
            <b/>
            <sz val="9"/>
            <color indexed="81"/>
            <rFont val="Segoe UI"/>
            <family val="2"/>
          </rPr>
          <t>Nota: Nem sempre o melhor jogador é o que tem a melhor %.
A taxa de cruzamentos pode variar, pois depende de um segundo jogador pra completar a ação. Então não necesseriamente uma baixa % significaria que o jogador em questão erra muito.
Foque em consistência de tentativas e acertos.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Ferracioli</author>
    <author>Usuario</author>
  </authors>
  <commentList>
    <comment ref="AP1" authorId="0" shapeId="0" xr:uid="{7FC317A3-031A-4963-A307-8457A8B217E4}">
      <text>
        <r>
          <rPr>
            <b/>
            <sz val="9"/>
            <color indexed="81"/>
            <rFont val="Segoe UI"/>
            <family val="2"/>
          </rPr>
          <t>Nota: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As bolas paradas podem ser:</t>
        </r>
        <r>
          <rPr>
            <sz val="9"/>
            <color indexed="81"/>
            <rFont val="Segoe UI"/>
            <family val="2"/>
          </rPr>
          <t xml:space="preserve">
- Laterais
- Escanteios
- Faltas (Livres)
Então não se limita apenas a escanteios.
Por isso podem haver casos de números bem elevados.</t>
        </r>
      </text>
    </comment>
    <comment ref="BW1" authorId="1" shapeId="0" xr:uid="{00000000-0006-0000-0600-000001000000}">
      <text>
        <r>
          <rPr>
            <b/>
            <sz val="9"/>
            <color indexed="81"/>
            <rFont val="Segoe UI"/>
            <family val="2"/>
          </rPr>
          <t>GPI:
O GPI (Goal Probability Index) é uma métrica que avalia a eficácia de um atacante em converter chances de gol e contribuir para o desempenho ofensivo do time. Ele considera tanto a qualidade das oportunidades criadas quanto a eficiência do jogador em transformá-las em gols.
Interpretação:
Eficiência: A relação entre Gols Marcados e xG mostra se o atacante está convertendo as chances conforme o esperado ou se está superando as expectativas.
Identifica atacantes com alta eficiência e contribuição ofensiva, mesmo que não sejam os que mais marcam gols.
Ajuda na decisão de contratações, valorizando jogadores com desempenho sólido e consistente.
É um cálculo inspirado e com base nos cálculos utilizados no método "Moneyball".</t>
        </r>
      </text>
    </comment>
    <comment ref="CT1" authorId="0" shapeId="0" xr:uid="{ABC0FB5B-599E-42B5-B071-DCACE7146682}">
      <text>
        <r>
          <rPr>
            <b/>
            <sz val="9"/>
            <color indexed="81"/>
            <rFont val="Segoe UI"/>
            <family val="2"/>
          </rPr>
          <t xml:space="preserve">Quando negativos:
</t>
        </r>
        <r>
          <rPr>
            <sz val="9"/>
            <color indexed="81"/>
            <rFont val="Segoe UI"/>
            <family val="2"/>
          </rPr>
          <t>A Equipe desperdiçou</t>
        </r>
        <r>
          <rPr>
            <b/>
            <sz val="9"/>
            <color indexed="81"/>
            <rFont val="Segoe UI"/>
            <family val="2"/>
          </rPr>
          <t xml:space="preserve">
Quando positivos:
</t>
        </r>
        <r>
          <rPr>
            <sz val="9"/>
            <color indexed="81"/>
            <rFont val="Segoe UI"/>
            <family val="2"/>
          </rPr>
          <t>A equipe concluiu chances não esperadas.</t>
        </r>
      </text>
    </comment>
    <comment ref="DZ1" authorId="1" shapeId="0" xr:uid="{00000000-0006-0000-0600-000002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ED1" authorId="1" shapeId="0" xr:uid="{00000000-0006-0000-0600-000003000000}">
      <text>
        <r>
          <rPr>
            <b/>
            <sz val="9"/>
            <color indexed="81"/>
            <rFont val="Segoe UI"/>
            <family val="2"/>
          </rPr>
          <t>Nota: Nem sempre o melhor jogador é o que tem a melhor %.
A taxa de cruzamentos pode variar, pois depende de um segundo jogador pra completar a ação. Então não necesseriamente uma baixa % significaria que o jogador em questão erra muito.
Foque em consistência de tentativas e acertos.</t>
        </r>
      </text>
    </comment>
    <comment ref="EE1" authorId="1" shapeId="0" xr:uid="{00000000-0006-0000-0600-000004000000}">
      <text>
        <r>
          <rPr>
            <b/>
            <sz val="9"/>
            <color indexed="81"/>
            <rFont val="Segoe UI"/>
            <family val="2"/>
          </rPr>
          <t xml:space="preserve">Nessa lista:
</t>
        </r>
        <r>
          <rPr>
            <sz val="9"/>
            <color indexed="81"/>
            <rFont val="Segoe UI"/>
            <family val="2"/>
          </rPr>
          <t>- Remates tentados
- Fintas feitas
- Cruzamentos feitos
- Passes decisivos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>- Oportunidades claras de gol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O1" authorId="0" shapeId="0" xr:uid="{00000000-0006-0000-0800-000001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DQ1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Ações com Bola: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Cruzamentos Tentados, Remates tentados, Fintas, Passes decisivos em jogo aberto.</t>
        </r>
      </text>
    </comment>
    <comment ref="EF1" authorId="0" shapeId="0" xr:uid="{00000000-0006-0000-0700-000002000000}">
      <text>
        <r>
          <rPr>
            <b/>
            <sz val="9"/>
            <color indexed="81"/>
            <rFont val="Segoe UI"/>
            <family val="2"/>
          </rPr>
          <t>Usuario:</t>
        </r>
        <r>
          <rPr>
            <sz val="9"/>
            <color indexed="81"/>
            <rFont val="Segoe UI"/>
            <family val="2"/>
          </rPr>
          <t xml:space="preserve">
A soma de todas as notas que o jogador recebeu até então.
Exemplo: Duas partidas nota 7,0 equivalem a uma Pontuação recebida de 14,0.</t>
        </r>
      </text>
    </comment>
  </commentList>
</comments>
</file>

<file path=xl/sharedStrings.xml><?xml version="1.0" encoding="utf-8"?>
<sst xmlns="http://schemas.openxmlformats.org/spreadsheetml/2006/main" count="2351" uniqueCount="1146">
  <si>
    <t>Clube</t>
  </si>
  <si>
    <t>Idade</t>
  </si>
  <si>
    <t>Valor Estimado</t>
  </si>
  <si>
    <t>Salário</t>
  </si>
  <si>
    <t>OCG</t>
  </si>
  <si>
    <t>Pens</t>
  </si>
  <si>
    <t>Golos DS</t>
  </si>
  <si>
    <t>xG</t>
  </si>
  <si>
    <t>Remates</t>
  </si>
  <si>
    <t>Rem %</t>
  </si>
  <si>
    <t>Fnt</t>
  </si>
  <si>
    <t>Cab A</t>
  </si>
  <si>
    <t>Fj</t>
  </si>
  <si>
    <t>BRA</t>
  </si>
  <si>
    <t>Inf</t>
  </si>
  <si>
    <t>Pas A</t>
  </si>
  <si>
    <t>Ps C</t>
  </si>
  <si>
    <t>Cabs</t>
  </si>
  <si>
    <t>Distância</t>
  </si>
  <si>
    <t>Prt</t>
  </si>
  <si>
    <t>Jogador</t>
  </si>
  <si>
    <t>Valor</t>
  </si>
  <si>
    <t>Gols</t>
  </si>
  <si>
    <t>Gols+Ass</t>
  </si>
  <si>
    <t>Assist</t>
  </si>
  <si>
    <t>Nota média</t>
  </si>
  <si>
    <t>Faltas sofridas</t>
  </si>
  <si>
    <t>Passes errados</t>
  </si>
  <si>
    <t>Equipe</t>
  </si>
  <si>
    <t>Altura</t>
  </si>
  <si>
    <t>HdJ</t>
  </si>
  <si>
    <t>Ds</t>
  </si>
  <si>
    <t>Dft</t>
  </si>
  <si>
    <t>Dfa</t>
  </si>
  <si>
    <t>Sem golos sofridos</t>
  </si>
  <si>
    <t>Sofridos / jogo</t>
  </si>
  <si>
    <t>Defesas totais / Jogo</t>
  </si>
  <si>
    <t>Clean Sheet</t>
  </si>
  <si>
    <t>Man of the match</t>
  </si>
  <si>
    <t>Falhas</t>
  </si>
  <si>
    <t>Pé Preferido</t>
  </si>
  <si>
    <t>Crt</t>
  </si>
  <si>
    <t>Int/90</t>
  </si>
  <si>
    <t>Desarmes ganhos</t>
  </si>
  <si>
    <t>Passes errados / 90</t>
  </si>
  <si>
    <t>Fintas / 90</t>
  </si>
  <si>
    <t>Passes certos</t>
  </si>
  <si>
    <t>Cruzamentos</t>
  </si>
  <si>
    <t>Crt D</t>
  </si>
  <si>
    <t>Alívios</t>
  </si>
  <si>
    <t>Interceptações /90</t>
  </si>
  <si>
    <t>Interceptações feitas</t>
  </si>
  <si>
    <t>% passes certos</t>
  </si>
  <si>
    <t>Passes completados</t>
  </si>
  <si>
    <t>Gols sem pênalti</t>
  </si>
  <si>
    <t>Média gols / partida</t>
  </si>
  <si>
    <t>Cabeceios disputados</t>
  </si>
  <si>
    <t>Ganhos</t>
  </si>
  <si>
    <t>Perdidos</t>
  </si>
  <si>
    <t>% Cabs perdidos</t>
  </si>
  <si>
    <t>% Cabs ganhos</t>
  </si>
  <si>
    <t>Finalizações pra um gol</t>
  </si>
  <si>
    <t>Gols não esperados</t>
  </si>
  <si>
    <t>Amr</t>
  </si>
  <si>
    <t>Vermelhos</t>
  </si>
  <si>
    <t>Assistências</t>
  </si>
  <si>
    <t>Gols + Ass</t>
  </si>
  <si>
    <t>Amarelos</t>
  </si>
  <si>
    <t>Total cartões</t>
  </si>
  <si>
    <t>Faltas cometidas</t>
  </si>
  <si>
    <t>% Des Ganhos</t>
  </si>
  <si>
    <t>Cabs disputados</t>
  </si>
  <si>
    <t>Cabs ganhos</t>
  </si>
  <si>
    <t>Cabs perdidos</t>
  </si>
  <si>
    <t>Chances criadas / 90</t>
  </si>
  <si>
    <t>Passes decisivos</t>
  </si>
  <si>
    <t>% Passes certos</t>
  </si>
  <si>
    <t>Passes tentados</t>
  </si>
  <si>
    <t>Passes certos  - errados / Jogo</t>
  </si>
  <si>
    <t>Passes decisivos / jogos</t>
  </si>
  <si>
    <t>Dist / 90</t>
  </si>
  <si>
    <t>Passes Tentados</t>
  </si>
  <si>
    <t>% passes errados</t>
  </si>
  <si>
    <t>Defesas totais</t>
  </si>
  <si>
    <t>Passes certos - errados</t>
  </si>
  <si>
    <t>Finalizações certas pra um gol</t>
  </si>
  <si>
    <t>%Passes errados</t>
  </si>
  <si>
    <t>Data Final do contrato</t>
  </si>
  <si>
    <t>Expira</t>
  </si>
  <si>
    <t>Data final de contrato</t>
  </si>
  <si>
    <t>Fim de contrato</t>
  </si>
  <si>
    <t>Fintas</t>
  </si>
  <si>
    <t>Cr T</t>
  </si>
  <si>
    <t>Cr C</t>
  </si>
  <si>
    <t>Bolas enfrentadas</t>
  </si>
  <si>
    <t>Valor estimado</t>
  </si>
  <si>
    <t>%Faltas limpas (Sem cartão)</t>
  </si>
  <si>
    <t>Faltas sem cartão</t>
  </si>
  <si>
    <t>Lances disputados</t>
  </si>
  <si>
    <t>% Lances disputados e ganhos de forma limpa</t>
  </si>
  <si>
    <t>Lances disputados e ganhos de forma limpa</t>
  </si>
  <si>
    <t>Cartões por falta cometida</t>
  </si>
  <si>
    <t>Pens M</t>
  </si>
  <si>
    <t>T Desa</t>
  </si>
  <si>
    <t>% Cabs</t>
  </si>
  <si>
    <t>Pass D / 90</t>
  </si>
  <si>
    <t>Pass D /90</t>
  </si>
  <si>
    <t>Des/90</t>
  </si>
  <si>
    <t>Chances criadas e não aproveitadas pela equipe / 90</t>
  </si>
  <si>
    <t>% Des</t>
  </si>
  <si>
    <t>Desarmes Ganhos</t>
  </si>
  <si>
    <t>Lances disputados e ganhos sem falta</t>
  </si>
  <si>
    <t>% Lances disputados e ganhos</t>
  </si>
  <si>
    <t>% Def Seguras</t>
  </si>
  <si>
    <t>xG / chute</t>
  </si>
  <si>
    <t>xG / Jogo</t>
  </si>
  <si>
    <t>Passes Tentados / 90</t>
  </si>
  <si>
    <t>Média de gols em toda a Carreira</t>
  </si>
  <si>
    <t>Faltas Sof / jogo</t>
  </si>
  <si>
    <t>Jogos completos</t>
  </si>
  <si>
    <t>Data Final de Contrato</t>
  </si>
  <si>
    <t>Gols na carreira</t>
  </si>
  <si>
    <t>% Gols (sem penalti)</t>
  </si>
  <si>
    <t>% Ass</t>
  </si>
  <si>
    <t>% Pênaltis</t>
  </si>
  <si>
    <t>Média gols + ass / partida</t>
  </si>
  <si>
    <t>Ass / 90</t>
  </si>
  <si>
    <t>Passes Completados / 90</t>
  </si>
  <si>
    <t>Média de passes errados / 90</t>
  </si>
  <si>
    <t>Jogos Completos</t>
  </si>
  <si>
    <t>Criação / 90</t>
  </si>
  <si>
    <t>Participação / 90</t>
  </si>
  <si>
    <t>Participação em passes / 90</t>
  </si>
  <si>
    <t>Tentativas de marcar um gol / 90</t>
  </si>
  <si>
    <t>Participação do jogador a cada 90 minutos</t>
  </si>
  <si>
    <t>Des Tentados / 90</t>
  </si>
  <si>
    <t>Desarmes Conseguidos / 90</t>
  </si>
  <si>
    <t>% Cabeceios ganhos</t>
  </si>
  <si>
    <t>Cruzamentos Conseguidos</t>
  </si>
  <si>
    <t>Bolas roubadas / 90</t>
  </si>
  <si>
    <t>Lances defensivos tentados</t>
  </si>
  <si>
    <t>Lances defensivos conseguidos</t>
  </si>
  <si>
    <t>Eficácia defensiva</t>
  </si>
  <si>
    <t>Lances DEF tentados / 90</t>
  </si>
  <si>
    <t>Lances DEF conseguidos / 90</t>
  </si>
  <si>
    <t>Taxa de acerto</t>
  </si>
  <si>
    <t>Acertos/90</t>
  </si>
  <si>
    <t>Ganhos /90</t>
  </si>
  <si>
    <t>Gols/90</t>
  </si>
  <si>
    <t>Bolas enf /90</t>
  </si>
  <si>
    <t>Participação por jogo (passes, fnt, fin, criação, roubadas de bola, etc)</t>
  </si>
  <si>
    <t>Gols / 90</t>
  </si>
  <si>
    <t>Participação do jogador a cada 90 minutos (fnt, cabs, pass, finalizaçõs)</t>
  </si>
  <si>
    <t>Ast/90</t>
  </si>
  <si>
    <t>Pass C / 90</t>
  </si>
  <si>
    <t>Bolas enfrentadas pra sofrer um gol</t>
  </si>
  <si>
    <t>Bolas dificeis enfrentadas pra sofrer 1 gol</t>
  </si>
  <si>
    <t>Cabs Disputados /90</t>
  </si>
  <si>
    <t>Tentativas de marcar um gol (finalização e oportunidades criadas)</t>
  </si>
  <si>
    <t>xG Defendidos</t>
  </si>
  <si>
    <t>xG defendidos / 90</t>
  </si>
  <si>
    <t>xGD</t>
  </si>
  <si>
    <t>Posse Ganha/90</t>
  </si>
  <si>
    <t>Poss Con/90</t>
  </si>
  <si>
    <t>xA</t>
  </si>
  <si>
    <t>Sprints/90</t>
  </si>
  <si>
    <t>Sprints / 90</t>
  </si>
  <si>
    <t>Assistências Esperadas xA</t>
  </si>
  <si>
    <t>Passes Tentados /90</t>
  </si>
  <si>
    <t>Fintas/90</t>
  </si>
  <si>
    <t>Pênaltis enfrentados</t>
  </si>
  <si>
    <t>% Pênaltis defendidos</t>
  </si>
  <si>
    <t>Minutos pra sofrer um gol</t>
  </si>
  <si>
    <t>nPen xG (xG=0,79)</t>
  </si>
  <si>
    <t>Fora de jogo</t>
  </si>
  <si>
    <t>Sprints de alta intensidade/90</t>
  </si>
  <si>
    <t>Um passe errado a cada...</t>
  </si>
  <si>
    <t>Poss Perd/90</t>
  </si>
  <si>
    <t>Posse perdida /90</t>
  </si>
  <si>
    <t>Fintas /90</t>
  </si>
  <si>
    <t>Desarmes Tentados</t>
  </si>
  <si>
    <t>Movimentos ofensivos tentados</t>
  </si>
  <si>
    <t>Movimentos ofensivos conseguidos</t>
  </si>
  <si>
    <t>Movimentos ofensivos com sucesso</t>
  </si>
  <si>
    <t>Mov Of / 90</t>
  </si>
  <si>
    <t>Cab Dec/90</t>
  </si>
  <si>
    <t>Sucesso (Overall)</t>
  </si>
  <si>
    <t>Press. tent.</t>
  </si>
  <si>
    <t>Press. conc.</t>
  </si>
  <si>
    <t>Gols + A/90</t>
  </si>
  <si>
    <t>Assistência /90</t>
  </si>
  <si>
    <t>Lances ofensivos Tentados</t>
  </si>
  <si>
    <t>Lances ofensivos tentados/90</t>
  </si>
  <si>
    <t>Lances OF conseguidos</t>
  </si>
  <si>
    <t>Lances OF conseguidos/90</t>
  </si>
  <si>
    <t>% Lances ofensivos conseguidos</t>
  </si>
  <si>
    <t>Lances defensivos Tentados</t>
  </si>
  <si>
    <t>Lances defensivos tentados/90</t>
  </si>
  <si>
    <t>Lances DEF conseguidos</t>
  </si>
  <si>
    <t>Lances DEF conseguidos/90</t>
  </si>
  <si>
    <t>% Lances defensivos conseguidos</t>
  </si>
  <si>
    <t>Lances Tentados (Ataque e Defesa)</t>
  </si>
  <si>
    <t>Lances Conseguidos (ATA e DEF)</t>
  </si>
  <si>
    <t>% Acertos Global</t>
  </si>
  <si>
    <t>Criação/90</t>
  </si>
  <si>
    <t>Tentativas de marcar um gol</t>
  </si>
  <si>
    <t>Ações no último terço / 90</t>
  </si>
  <si>
    <t>Proporção de posse Ganha - Perdida</t>
  </si>
  <si>
    <t>% Pressão pra roubar a bola com sucesso</t>
  </si>
  <si>
    <t>Lances ganhos</t>
  </si>
  <si>
    <t>%Des Ganhos</t>
  </si>
  <si>
    <t>Distância percorrida/90</t>
  </si>
  <si>
    <t>NAC</t>
  </si>
  <si>
    <t>Gols + Assist</t>
  </si>
  <si>
    <t>Fora de jogo/90</t>
  </si>
  <si>
    <t>Finalização ou Cabeceio pra um gol</t>
  </si>
  <si>
    <t>Posse Perdida/90</t>
  </si>
  <si>
    <t>Des disputados /90</t>
  </si>
  <si>
    <t>Lances Conseguidos</t>
  </si>
  <si>
    <t>% Acerto</t>
  </si>
  <si>
    <t>Passes Completados /90</t>
  </si>
  <si>
    <t>% Passes</t>
  </si>
  <si>
    <t>Chances de Sofrer um gol/90</t>
  </si>
  <si>
    <t>Movimentos de pressão tentados</t>
  </si>
  <si>
    <t>Mov Press T/90</t>
  </si>
  <si>
    <t>Movimentos de pressão ganhos</t>
  </si>
  <si>
    <t>Mov Press Ganhos /90</t>
  </si>
  <si>
    <t>% Pressão ganha/90</t>
  </si>
  <si>
    <t>Finalizações pra marcar um gol</t>
  </si>
  <si>
    <t>Média de jogos</t>
  </si>
  <si>
    <t>Pé preferido</t>
  </si>
  <si>
    <t>Ações tentadas</t>
  </si>
  <si>
    <t>Ações com sucesso</t>
  </si>
  <si>
    <t>% Acerto do goleiro</t>
  </si>
  <si>
    <t>Rems Bloq</t>
  </si>
  <si>
    <t>Interceptação + Recuperação de bola/90</t>
  </si>
  <si>
    <t>Pênaltis marcados</t>
  </si>
  <si>
    <t>Pênaltis perdidos</t>
  </si>
  <si>
    <t>% Conversão de pênalti</t>
  </si>
  <si>
    <t>Pênaltis batidos</t>
  </si>
  <si>
    <t>Gols de Penaltis</t>
  </si>
  <si>
    <t>Tentativas de Remates de fora da área /90</t>
  </si>
  <si>
    <t>Participações do jogador</t>
  </si>
  <si>
    <t>Dribles sofridos</t>
  </si>
  <si>
    <t>Dribles sofridos /90</t>
  </si>
  <si>
    <t>Dribles Sofridos</t>
  </si>
  <si>
    <t>Ações que geraram finalizações ao gol</t>
  </si>
  <si>
    <t>Ações que geraram finalizações ao gol /90</t>
  </si>
  <si>
    <t>Finalizações no gol</t>
  </si>
  <si>
    <t>Finalizações (Total)</t>
  </si>
  <si>
    <t>Dribles Sofridos /90</t>
  </si>
  <si>
    <t>Blq</t>
  </si>
  <si>
    <t>Faltas cometidas /90</t>
  </si>
  <si>
    <t>Lances disputados /90</t>
  </si>
  <si>
    <t>Lances disputados e ganhos sem falta /90</t>
  </si>
  <si>
    <t>Lances Tentados /90</t>
  </si>
  <si>
    <t>Lances Tentados (Remate, Passe, Finta, etc)</t>
  </si>
  <si>
    <t>Lances Conseguidos /90</t>
  </si>
  <si>
    <t>Sprints /90</t>
  </si>
  <si>
    <t>% Faltas que geraram um cartão</t>
  </si>
  <si>
    <t>Cartões /90</t>
  </si>
  <si>
    <t>Cartões recebidos</t>
  </si>
  <si>
    <t>Cartões vermelhos</t>
  </si>
  <si>
    <t>Cartões amarelos</t>
  </si>
  <si>
    <t>% de disputas perdidas</t>
  </si>
  <si>
    <t>Faltas cometidas/90</t>
  </si>
  <si>
    <t>Bolas disputadas e perdidas /90</t>
  </si>
  <si>
    <t>Bolas disputadas e perdidas com o adversário</t>
  </si>
  <si>
    <t>% Bolas disputadas e ganhas</t>
  </si>
  <si>
    <t>Bolas disputadas e ganhas /90</t>
  </si>
  <si>
    <t>Bolas disputadas e ganhas do adversário</t>
  </si>
  <si>
    <t>Bolas disputadas /90</t>
  </si>
  <si>
    <t>Bolas disputadas com o adversário</t>
  </si>
  <si>
    <t>Bolas roubadas /90</t>
  </si>
  <si>
    <t>Bolas roubadas do adversário</t>
  </si>
  <si>
    <t>Bolas interceptadas /90</t>
  </si>
  <si>
    <t>Bolas interceptadas</t>
  </si>
  <si>
    <t>Tentativa de criar um gol ou jogada ofensiva/ 90</t>
  </si>
  <si>
    <t>% Passes errados</t>
  </si>
  <si>
    <t>Passes Errados /90</t>
  </si>
  <si>
    <t>Passes Errados</t>
  </si>
  <si>
    <t>% Passes em progressão em relação aos curtos</t>
  </si>
  <si>
    <t>Passes em progressão/90</t>
  </si>
  <si>
    <t>Passe que são em progressão</t>
  </si>
  <si>
    <t>Passes que são curtos</t>
  </si>
  <si>
    <t>% Acerto dos passes</t>
  </si>
  <si>
    <t>Passes Certos /90</t>
  </si>
  <si>
    <t>Passes Certos</t>
  </si>
  <si>
    <t>Desarmes Ganhos/90</t>
  </si>
  <si>
    <t>Desarmes Tentados /90</t>
  </si>
  <si>
    <t>Rem Bloqueados, Interceptações  e Bloqueios/90</t>
  </si>
  <si>
    <t>Remates bloqueados /90</t>
  </si>
  <si>
    <t>Remates bloqueados</t>
  </si>
  <si>
    <t>% Cabeceios perdidos</t>
  </si>
  <si>
    <t>Cabeceios Perdidos /90</t>
  </si>
  <si>
    <t>Cabeceios Perdidos</t>
  </si>
  <si>
    <t>% Cabeceios Ganhos</t>
  </si>
  <si>
    <t>Cabeceios Ganhos /90</t>
  </si>
  <si>
    <t>Cabeceios Ganhos (Total)</t>
  </si>
  <si>
    <t>Cabeceios Tentados /90</t>
  </si>
  <si>
    <t>Cabeceios Tentados (Total)</t>
  </si>
  <si>
    <t>Erros que originaram gols /90</t>
  </si>
  <si>
    <t>Erros que geraram gol adversário</t>
  </si>
  <si>
    <t>Gols + Ast/90</t>
  </si>
  <si>
    <t>Gols+Ast</t>
  </si>
  <si>
    <t xml:space="preserve"> </t>
  </si>
  <si>
    <t>% de jogos sem sofrer gol</t>
  </si>
  <si>
    <t>Bolas roubadas</t>
  </si>
  <si>
    <t>Bolas int/90</t>
  </si>
  <si>
    <t>Chances de perigo criadas</t>
  </si>
  <si>
    <t>Chances de perigo criadas /90</t>
  </si>
  <si>
    <t>Passes em construção de jogada ofensiva</t>
  </si>
  <si>
    <t>Passes em construção de jog OF /90</t>
  </si>
  <si>
    <t>Passes curtos certos /90</t>
  </si>
  <si>
    <t>Gols /90</t>
  </si>
  <si>
    <t>Assist /90</t>
  </si>
  <si>
    <t>Gols de fora da área</t>
  </si>
  <si>
    <t>% Conclusão dos chutes de fora da área</t>
  </si>
  <si>
    <t>Gols de pen/90</t>
  </si>
  <si>
    <t>Pênaltis Defendidos</t>
  </si>
  <si>
    <t>Soma de todas as bolas enfrentadas</t>
  </si>
  <si>
    <t>Faltas Sofridas</t>
  </si>
  <si>
    <t>Faltas Sof/90</t>
  </si>
  <si>
    <t>Passes C / 90</t>
  </si>
  <si>
    <t>xA (assistências esperadas)</t>
  </si>
  <si>
    <t>xA + xG /90</t>
  </si>
  <si>
    <t>Finalizações no Gol</t>
  </si>
  <si>
    <t>Finalizações /90</t>
  </si>
  <si>
    <t>Gols esperados (xG)</t>
  </si>
  <si>
    <t>xG /90</t>
  </si>
  <si>
    <t>xG (Sem pênaltis)</t>
  </si>
  <si>
    <t>xG (Sem pênaltis) /90</t>
  </si>
  <si>
    <t>Assistências Esperadas (xA)</t>
  </si>
  <si>
    <t>xA /90</t>
  </si>
  <si>
    <t>Interceptações</t>
  </si>
  <si>
    <t>Cabeceios Disputados</t>
  </si>
  <si>
    <t>Cabeceios Ganhos</t>
  </si>
  <si>
    <t>% Cabs Ganhos</t>
  </si>
  <si>
    <t>Cabeceios Disputados /90</t>
  </si>
  <si>
    <t>Bolas Interceptadas /90</t>
  </si>
  <si>
    <t>xG + xA</t>
  </si>
  <si>
    <t>xG + xA /90</t>
  </si>
  <si>
    <t>Distância percorrida (Total)</t>
  </si>
  <si>
    <t>Distância percorrida</t>
  </si>
  <si>
    <t>Distância /90</t>
  </si>
  <si>
    <t>Minutos pra fazer um Passe Decisivo</t>
  </si>
  <si>
    <t>Minutos pra criar uma chance perigosa</t>
  </si>
  <si>
    <t>xG Defendidos sem pênalti</t>
  </si>
  <si>
    <t>xG Defendidos sem pênalti /90</t>
  </si>
  <si>
    <t>Gols convertidos /90</t>
  </si>
  <si>
    <t>Over xG / Under xG per 90</t>
  </si>
  <si>
    <t>xA + xG (sem pen)</t>
  </si>
  <si>
    <t>xA + xG sem pen</t>
  </si>
  <si>
    <t>% Gols Sofridos comparado aos outros goleiros</t>
  </si>
  <si>
    <t>Gols Sofridos</t>
  </si>
  <si>
    <t>Cartões Amarelos</t>
  </si>
  <si>
    <t>Cartões Vermelhos</t>
  </si>
  <si>
    <t>Proporção de Defesas vs Chutes</t>
  </si>
  <si>
    <t>Defesas Seguras</t>
  </si>
  <si>
    <t>Defesas Seguras /90</t>
  </si>
  <si>
    <t>Defesas Com a Ponta dos Dedos</t>
  </si>
  <si>
    <t>Defesas com a ponta dos dedos /90</t>
  </si>
  <si>
    <t>Defesas Desviadas</t>
  </si>
  <si>
    <t>Defesas Desviadas /90</t>
  </si>
  <si>
    <t>% Def Desviadas</t>
  </si>
  <si>
    <t>% Def com a ponta dos dedos</t>
  </si>
  <si>
    <t>Minutos pra tentar uma finalização</t>
  </si>
  <si>
    <t>Minutos pra acertar um remate no gol</t>
  </si>
  <si>
    <t>Tentativas de marcar um gol  /90</t>
  </si>
  <si>
    <t>Desarme + Pressões Tentadas</t>
  </si>
  <si>
    <t>Desarme + Pressões Concluídas</t>
  </si>
  <si>
    <t>Des + Pres T /90</t>
  </si>
  <si>
    <t>% Des + Pressões concluídas</t>
  </si>
  <si>
    <t>Des + Pres C /90</t>
  </si>
  <si>
    <t>Interceptação + Recuperação de bola</t>
  </si>
  <si>
    <t>Cabeceios Ganhos/90</t>
  </si>
  <si>
    <t>Des Ganhos/90</t>
  </si>
  <si>
    <t>Dribles Sofridos/90</t>
  </si>
  <si>
    <t>Movimentos de pressão Tentados</t>
  </si>
  <si>
    <t>Movimentos de pressão Concretizados</t>
  </si>
  <si>
    <t>Lances disputados/90</t>
  </si>
  <si>
    <t>Lances ganhos/90</t>
  </si>
  <si>
    <t>Bolas Interceptadas</t>
  </si>
  <si>
    <t>Bolas Int / 90</t>
  </si>
  <si>
    <t>Minutos pra acertar uma finalização no gol</t>
  </si>
  <si>
    <t>Cruzamentos Tentados</t>
  </si>
  <si>
    <t>Cruzamentos com sucesso</t>
  </si>
  <si>
    <t>% Cruzamentos certos</t>
  </si>
  <si>
    <t>Ações no último terço (Fintas, chances criadas, remates)</t>
  </si>
  <si>
    <t>Chances criadas</t>
  </si>
  <si>
    <t>Último terço/90</t>
  </si>
  <si>
    <t>Chances criadas /90</t>
  </si>
  <si>
    <t>Criação (Jogadas Ofensivas)</t>
  </si>
  <si>
    <t>Tentativas totais de remate de fora da área</t>
  </si>
  <si>
    <t>Finalizações que se converteram em gols</t>
  </si>
  <si>
    <t>Desarmes Tentados/90</t>
  </si>
  <si>
    <t>Desarmes ganhos/90</t>
  </si>
  <si>
    <t>Bolas disputadas com o adversário /90</t>
  </si>
  <si>
    <t>Bolas disputadas e ganhas</t>
  </si>
  <si>
    <t>%Faltas Sem Cartão</t>
  </si>
  <si>
    <t>% Finalizações que converteram em gol</t>
  </si>
  <si>
    <t>Tentativas de Saída do gol pra 1v1</t>
  </si>
  <si>
    <t>Tentativas de saída do gol /90</t>
  </si>
  <si>
    <t>Saídas do gol com sucesso</t>
  </si>
  <si>
    <t>Saídas do gol com sucesso /90</t>
  </si>
  <si>
    <t>Saídas do gol falhas</t>
  </si>
  <si>
    <t>Saídas do gol falhas /90</t>
  </si>
  <si>
    <t>% De Acerto nas Saídas do gol</t>
  </si>
  <si>
    <t>Não está à venda</t>
  </si>
  <si>
    <t>Posse Desperdiçada</t>
  </si>
  <si>
    <t>Posse Desperdiçada /90</t>
  </si>
  <si>
    <t>% de vezes que foi eleito o Homem do Jogo</t>
  </si>
  <si>
    <t>Minutos pra ser o homem do jogo</t>
  </si>
  <si>
    <t>Pontuação recebida</t>
  </si>
  <si>
    <t>% Def Dificeis</t>
  </si>
  <si>
    <t>Jogos Totais</t>
  </si>
  <si>
    <t>Minutos por partida</t>
  </si>
  <si>
    <t>Jogadas de Criação</t>
  </si>
  <si>
    <t>Tentativas de marcar um gol/90</t>
  </si>
  <si>
    <t>Jogos como Titular</t>
  </si>
  <si>
    <t>Participações do jogador /90</t>
  </si>
  <si>
    <t>Finalizações</t>
  </si>
  <si>
    <t>Distância Percorrida</t>
  </si>
  <si>
    <t>Ações com Bola</t>
  </si>
  <si>
    <t>Ações com Bola/90</t>
  </si>
  <si>
    <t>Velocidade Média (em km/h)</t>
  </si>
  <si>
    <t>Sprints de alta intensidade</t>
  </si>
  <si>
    <t>Gols+ Assist / 90</t>
  </si>
  <si>
    <t>Passes Decisivos</t>
  </si>
  <si>
    <t>Passes Decisivos /90</t>
  </si>
  <si>
    <t>% Finalizações que foram no gol</t>
  </si>
  <si>
    <t>Finalizações no gol/90</t>
  </si>
  <si>
    <r>
      <rPr>
        <b/>
        <sz val="8"/>
        <color theme="5" tint="0.39997558519241921"/>
        <rFont val="Verdana"/>
        <family val="2"/>
      </rPr>
      <t xml:space="preserve">Gols </t>
    </r>
    <r>
      <rPr>
        <b/>
        <sz val="8"/>
        <color theme="0" tint="0.79998168889431442"/>
        <rFont val="Verdana"/>
        <family val="2"/>
      </rPr>
      <t>de fora da área /90</t>
    </r>
  </si>
  <si>
    <r>
      <rPr>
        <b/>
        <sz val="8"/>
        <color theme="5" tint="0.39997558519241921"/>
        <rFont val="Verdana"/>
        <family val="2"/>
      </rPr>
      <t xml:space="preserve">Chutes </t>
    </r>
    <r>
      <rPr>
        <b/>
        <sz val="8"/>
        <color theme="0" tint="0.79998168889431442"/>
        <rFont val="Verdana"/>
        <family val="2"/>
      </rPr>
      <t>de fora da área /90</t>
    </r>
  </si>
  <si>
    <r>
      <rPr>
        <b/>
        <sz val="8"/>
        <color theme="5" tint="0.39997558519241921"/>
        <rFont val="Verdana"/>
        <family val="2"/>
      </rPr>
      <t>Gols</t>
    </r>
    <r>
      <rPr>
        <b/>
        <sz val="8"/>
        <color theme="0" tint="0.79998168889431442"/>
        <rFont val="Verdana"/>
        <family val="2"/>
      </rPr>
      <t xml:space="preserve"> de dentro da área /90</t>
    </r>
  </si>
  <si>
    <t>% Bolas disputadas e ganhas (sem falta)</t>
  </si>
  <si>
    <t>Passes Decisivos (Total)</t>
  </si>
  <si>
    <t>Assistências Claras que a Equipe desperdiçou</t>
  </si>
  <si>
    <t>Passes Decisivos pra uma assistência</t>
  </si>
  <si>
    <t>Pass Decisivos que se converteram em assistências</t>
  </si>
  <si>
    <t>Chances Criadas em Bola Parada</t>
  </si>
  <si>
    <t>Minutos pra criar uma chance de perigo</t>
  </si>
  <si>
    <t>Sprints (Total)</t>
  </si>
  <si>
    <t>Assistências Desperdiçadas pela Equipe</t>
  </si>
  <si>
    <t>xA / Passe Decisivo</t>
  </si>
  <si>
    <t>Erros Defensivos</t>
  </si>
  <si>
    <t>Erros Defensivos /90</t>
  </si>
  <si>
    <t>Tentativas (Cabs, Desarmes, Pressão)</t>
  </si>
  <si>
    <t>Tentativas Cabs, Des, Pres /90</t>
  </si>
  <si>
    <t>Acertos (Cabs, Des, Pres)</t>
  </si>
  <si>
    <t>Erros</t>
  </si>
  <si>
    <t>xA por passe decisivo</t>
  </si>
  <si>
    <t>Lances ofensivos tentados</t>
  </si>
  <si>
    <t>Lances ofensivos conseguidos</t>
  </si>
  <si>
    <t>Posse Perdida /90</t>
  </si>
  <si>
    <t>Posse Perdida</t>
  </si>
  <si>
    <t>Eficácia ofensiva</t>
  </si>
  <si>
    <t>Cabeceios que evitaram jogada ofensiva</t>
  </si>
  <si>
    <t>Cabs que evitaram jogada ofensiva /90</t>
  </si>
  <si>
    <t>Desarmes Decisivos</t>
  </si>
  <si>
    <t>Desarmes Decisivos / 90</t>
  </si>
  <si>
    <t>Desarmes Decisivos /90</t>
  </si>
  <si>
    <t>Ações no último terço (Finta, Pass D, OGC, etc)</t>
  </si>
  <si>
    <t>xA por Passes Decisivos</t>
  </si>
  <si>
    <t>Tentativa de criar um gol ou jogada ofensiva</t>
  </si>
  <si>
    <t>GPI (Goal Probability Index)</t>
  </si>
  <si>
    <t>Índice de Defesas Críticas</t>
  </si>
  <si>
    <t>xG sem pênalti</t>
  </si>
  <si>
    <t>non Pen xG/90</t>
  </si>
  <si>
    <t>xG sem pênaltis</t>
  </si>
  <si>
    <t>non Pen xG /90</t>
  </si>
  <si>
    <t>Gols não esperados SEM PÊNALTI</t>
  </si>
  <si>
    <t>Soma de todos os desarmes</t>
  </si>
  <si>
    <t>% Des em relação a media</t>
  </si>
  <si>
    <t>Ações no último terço</t>
  </si>
  <si>
    <t>Minutos pra PARTICIPAR de um gol</t>
  </si>
  <si>
    <t>Minutos pra MARCAR um gol</t>
  </si>
  <si>
    <t>Cruzamentos T /90</t>
  </si>
  <si>
    <t>Cruzamentos C/90</t>
  </si>
  <si>
    <t>Ações com Bola (Completadas)</t>
  </si>
  <si>
    <t>Ações com Bola Tentadas</t>
  </si>
  <si>
    <t>Ações com Bola T/90</t>
  </si>
  <si>
    <t>Ações com Bola Comp /90</t>
  </si>
  <si>
    <t>% Sucesso de ações com bola</t>
  </si>
  <si>
    <t>Bolas recuperadas</t>
  </si>
  <si>
    <t>Bolas recuperadas / 90</t>
  </si>
  <si>
    <t>Faltas/90</t>
  </si>
  <si>
    <t xml:space="preserve">Ações no último terço </t>
  </si>
  <si>
    <t>Lances ofensivos / 90</t>
  </si>
  <si>
    <t>Lances ofensivos conseguidos / 90</t>
  </si>
  <si>
    <t>Alívios /90</t>
  </si>
  <si>
    <t>Média de altura</t>
  </si>
  <si>
    <t>Gols+Ast /90</t>
  </si>
  <si>
    <t>% Fin</t>
  </si>
  <si>
    <t>% Passes certos/90</t>
  </si>
  <si>
    <t>Cabs Ganhos / 90</t>
  </si>
  <si>
    <t>Passes completados/90</t>
  </si>
  <si>
    <t>Lances aéreos disputados /90</t>
  </si>
  <si>
    <t>Passes tentados/90</t>
  </si>
  <si>
    <t>Média de idade</t>
  </si>
  <si>
    <t>Análise da Equipe</t>
  </si>
  <si>
    <t>Dist/90</t>
  </si>
  <si>
    <t>Posição</t>
  </si>
  <si>
    <t>% Desarmes</t>
  </si>
  <si>
    <t>Desarmes G/90</t>
  </si>
  <si>
    <t>Des T /90</t>
  </si>
  <si>
    <t>Cabeceios Disputados/90</t>
  </si>
  <si>
    <t>Conversão de Gols</t>
  </si>
  <si>
    <t>% Finalizações certas</t>
  </si>
  <si>
    <t>Finalizações Certas /90</t>
  </si>
  <si>
    <t>Fin/90</t>
  </si>
  <si>
    <t>xA + xG sem pen /90</t>
  </si>
  <si>
    <t>Cruzamentos %</t>
  </si>
  <si>
    <t>Perda de posse /90 minutos</t>
  </si>
  <si>
    <t>Perda da posse de bola</t>
  </si>
  <si>
    <t>% Passes certos /90</t>
  </si>
  <si>
    <t>Passes errados /90</t>
  </si>
  <si>
    <t>Pass Certos / 90</t>
  </si>
  <si>
    <t>Altura           (em metros)</t>
  </si>
  <si>
    <t>Minutos Jogados</t>
  </si>
  <si>
    <t>Posse Ganha Total</t>
  </si>
  <si>
    <t>Posse Ganha /90</t>
  </si>
  <si>
    <t>Posse Perdida Total</t>
  </si>
  <si>
    <t>Falhas/90</t>
  </si>
  <si>
    <t>Clean Sheets/90</t>
  </si>
  <si>
    <t>Passes em progressão</t>
  </si>
  <si>
    <t>Pass Progr /90</t>
  </si>
  <si>
    <t>% Passes em progressão</t>
  </si>
  <si>
    <t>Pass D/90</t>
  </si>
  <si>
    <t>Passes Curtos</t>
  </si>
  <si>
    <t>Passes Curtos /90</t>
  </si>
  <si>
    <t>Expected Goals Prevented xGP</t>
  </si>
  <si>
    <t>xG Conclusion</t>
  </si>
  <si>
    <t>xA Conclusion</t>
  </si>
  <si>
    <t>% Passes Certos</t>
  </si>
  <si>
    <t>Passes Completados</t>
  </si>
  <si>
    <t>Passes completados /90</t>
  </si>
  <si>
    <t>xPG Ratio</t>
  </si>
  <si>
    <t>-</t>
  </si>
  <si>
    <t>192 cm</t>
  </si>
  <si>
    <t>178 cm</t>
  </si>
  <si>
    <t>Gols + Ast</t>
  </si>
  <si>
    <t>''''''''''''''''''</t>
  </si>
  <si>
    <t>% Finalizações em direção ao gol</t>
  </si>
  <si>
    <t>Cartão Amarelo/90</t>
  </si>
  <si>
    <t>Cartão Vermelho</t>
  </si>
  <si>
    <t>Cartão Vermelho/90</t>
  </si>
  <si>
    <t>% Cartões por falta cometida</t>
  </si>
  <si>
    <t>Cartões Recebidos no Total</t>
  </si>
  <si>
    <t>Posse perdida</t>
  </si>
  <si>
    <t>CT-JA</t>
  </si>
  <si>
    <t>CC-JA</t>
  </si>
  <si>
    <t>Gols Sem Pênalti</t>
  </si>
  <si>
    <t>Gols Sem Pênalti /90</t>
  </si>
  <si>
    <t>Pen Def/90</t>
  </si>
  <si>
    <t>Pen Enf/90</t>
  </si>
  <si>
    <t>184 cm</t>
  </si>
  <si>
    <t>186 cm</t>
  </si>
  <si>
    <t>Passes que são em progressão</t>
  </si>
  <si>
    <t>Cabs ganhos /90</t>
  </si>
  <si>
    <t>Cabs perdidos /90</t>
  </si>
  <si>
    <t>176 cm</t>
  </si>
  <si>
    <t>175 cm</t>
  </si>
  <si>
    <t>180 cm</t>
  </si>
  <si>
    <t>Gols + Assist /90</t>
  </si>
  <si>
    <t>Finalizações no gol pra marcar um gol</t>
  </si>
  <si>
    <t>Finalizações no gol /90</t>
  </si>
  <si>
    <t>% dos cabeceios que são ofensivos</t>
  </si>
  <si>
    <t>xG Esperados SEM PÊNALTI</t>
  </si>
  <si>
    <t>Cabeceios Ofensivos (Tentados)</t>
  </si>
  <si>
    <t>Cabeceios ofensivos T /90</t>
  </si>
  <si>
    <t>Cabeceios Ofensivos que foram no gol</t>
  </si>
  <si>
    <t>% Cabeceios que foram em direção ao gol</t>
  </si>
  <si>
    <t>xG por Remate ou Cabeceio</t>
  </si>
  <si>
    <t>Cabs Of. que foram no gol /90</t>
  </si>
  <si>
    <t>181 cm</t>
  </si>
  <si>
    <t>Passe Tentados/ 90</t>
  </si>
  <si>
    <t>Cruzamentos T/90</t>
  </si>
  <si>
    <t>Erros que originaram gol</t>
  </si>
  <si>
    <t>Erros que geraram gol/90</t>
  </si>
  <si>
    <t>Participações do jogador (Fintas, passes, etc)</t>
  </si>
  <si>
    <t>Cabeceios Disp /90</t>
  </si>
  <si>
    <t>Cabeceios G/90</t>
  </si>
  <si>
    <t>179 cm</t>
  </si>
  <si>
    <t>Nação</t>
  </si>
  <si>
    <t>Minutos</t>
  </si>
  <si>
    <t>Des Dec/90</t>
  </si>
  <si>
    <t>EPG</t>
  </si>
  <si>
    <t>Recomendação</t>
  </si>
  <si>
    <t>Observação</t>
  </si>
  <si>
    <t>Nenhuma</t>
  </si>
  <si>
    <t>Pressões Tentadas</t>
  </si>
  <si>
    <t>Pressões concluídas</t>
  </si>
  <si>
    <t>Pressões T /90</t>
  </si>
  <si>
    <t>Pressões C /90</t>
  </si>
  <si>
    <t>Des C</t>
  </si>
  <si>
    <t>Desarmes Conseguidos</t>
  </si>
  <si>
    <t>Desarmes C/90</t>
  </si>
  <si>
    <t>Placar de Esforço</t>
  </si>
  <si>
    <t>Golos Sofridos</t>
  </si>
  <si>
    <t>Classificação</t>
  </si>
  <si>
    <t>Pé Direito</t>
  </si>
  <si>
    <t>Somente Pé Direito</t>
  </si>
  <si>
    <t>Faltas Cometidas</t>
  </si>
  <si>
    <t>Faltas Contra</t>
  </si>
  <si>
    <t>PeP</t>
  </si>
  <si>
    <t>Passes Ch</t>
  </si>
  <si>
    <t>Pé Esquerdo</t>
  </si>
  <si>
    <t>Presenças</t>
  </si>
  <si>
    <t>Golos</t>
  </si>
  <si>
    <t>Assist.</t>
  </si>
  <si>
    <t>Remates em livres</t>
  </si>
  <si>
    <t>Pass Decisivos / 90</t>
  </si>
  <si>
    <t>Passes curtos e certos /90</t>
  </si>
  <si>
    <t>173 cm</t>
  </si>
  <si>
    <t>32m € p/m</t>
  </si>
  <si>
    <t>Remates de fora da área em cada 90 minutes</t>
  </si>
  <si>
    <t>POR</t>
  </si>
  <si>
    <t>Taxa de Conversão %</t>
  </si>
  <si>
    <t>Golos marcados de fora da área</t>
  </si>
  <si>
    <t>Chances Criadas em  Bolas Paradas</t>
  </si>
  <si>
    <t>Cobranças de falta (Diretas)</t>
  </si>
  <si>
    <t>Tentativas de  Criar  uma chance em Bola Parada</t>
  </si>
  <si>
    <t>% Aproveitamento das Tentativas de Criar chance em  BP</t>
  </si>
  <si>
    <t>Tentativas/90</t>
  </si>
  <si>
    <t>Chances C /90</t>
  </si>
  <si>
    <t>Conversão dos chutes de fora da  área</t>
  </si>
  <si>
    <t>Gols dentro da área</t>
  </si>
  <si>
    <t>Gols de pênalti</t>
  </si>
  <si>
    <t>Escolhido</t>
  </si>
  <si>
    <t>187 cm</t>
  </si>
  <si>
    <t>Impedimentos</t>
  </si>
  <si>
    <t>Impedimentos / 90</t>
  </si>
  <si>
    <t>Gols de dentro da área</t>
  </si>
  <si>
    <t>Pen. Enfrentados</t>
  </si>
  <si>
    <t>Pen. Defendidos</t>
  </si>
  <si>
    <t>177 cm</t>
  </si>
  <si>
    <t>xG sem pênaltis/90</t>
  </si>
  <si>
    <t>Passes Errados/90</t>
  </si>
  <si>
    <t>190 cm</t>
  </si>
  <si>
    <t>Erros /90</t>
  </si>
  <si>
    <t>ENG</t>
  </si>
  <si>
    <t>FRA</t>
  </si>
  <si>
    <t>Atlético de Madrid</t>
  </si>
  <si>
    <t>GER</t>
  </si>
  <si>
    <t>8,8M €</t>
  </si>
  <si>
    <t>ESP</t>
  </si>
  <si>
    <t>ITA</t>
  </si>
  <si>
    <t>Barcelona</t>
  </si>
  <si>
    <t>Roma</t>
  </si>
  <si>
    <t>Gavi</t>
  </si>
  <si>
    <t>Bryan Cristante</t>
  </si>
  <si>
    <t>Osasuna</t>
  </si>
  <si>
    <t>Aimar</t>
  </si>
  <si>
    <t>192,0 km</t>
  </si>
  <si>
    <t>Juventus</t>
  </si>
  <si>
    <t>185 cm</t>
  </si>
  <si>
    <t>188 cm</t>
  </si>
  <si>
    <t>PL (C)</t>
  </si>
  <si>
    <t>120m € - 1,2M €</t>
  </si>
  <si>
    <t>Andorra</t>
  </si>
  <si>
    <t>15 (2)</t>
  </si>
  <si>
    <t>179,7 km</t>
  </si>
  <si>
    <t>112M € - 133M €</t>
  </si>
  <si>
    <t>761m € p/m</t>
  </si>
  <si>
    <t>19 (2)</t>
  </si>
  <si>
    <t>224,1 km</t>
  </si>
  <si>
    <t>Almería</t>
  </si>
  <si>
    <t>Khéphren Thuram</t>
  </si>
  <si>
    <t>55M € - 81M €</t>
  </si>
  <si>
    <t>576m € p/m</t>
  </si>
  <si>
    <t>211,8 km</t>
  </si>
  <si>
    <t>150m € - 1,5M €</t>
  </si>
  <si>
    <t>591m € p/m</t>
  </si>
  <si>
    <t>193,4 km</t>
  </si>
  <si>
    <t>17,25m € p/m</t>
  </si>
  <si>
    <t>Gui</t>
  </si>
  <si>
    <t>Iker Muñoz</t>
  </si>
  <si>
    <t>55m € p/m</t>
  </si>
  <si>
    <t>189,9 km</t>
  </si>
  <si>
    <t>Real Madrid</t>
  </si>
  <si>
    <t>Pablo Barrios</t>
  </si>
  <si>
    <t>163M € - 241M €</t>
  </si>
  <si>
    <t>234m € p/m</t>
  </si>
  <si>
    <t>181,8 km</t>
  </si>
  <si>
    <t>15 (1)</t>
  </si>
  <si>
    <t>Jude Bellingham</t>
  </si>
  <si>
    <t>344M € - 375M €</t>
  </si>
  <si>
    <t>1,84M € p/m</t>
  </si>
  <si>
    <t>153,7 km</t>
  </si>
  <si>
    <t>60M € - 74M €</t>
  </si>
  <si>
    <t>240m € p/m</t>
  </si>
  <si>
    <t>183,8 km</t>
  </si>
  <si>
    <t>146,1 km</t>
  </si>
  <si>
    <t>Fermín</t>
  </si>
  <si>
    <t>54M € - 80M €</t>
  </si>
  <si>
    <t>704m € p/m</t>
  </si>
  <si>
    <t>15 (7)</t>
  </si>
  <si>
    <t>Andy Escudero</t>
  </si>
  <si>
    <t>0,81</t>
  </si>
  <si>
    <t>3,18</t>
  </si>
  <si>
    <t>5,03</t>
  </si>
  <si>
    <t>3,92</t>
  </si>
  <si>
    <t>3,45</t>
  </si>
  <si>
    <t>5,25</t>
  </si>
  <si>
    <t>0,74</t>
  </si>
  <si>
    <t>1,53</t>
  </si>
  <si>
    <t>3,15</t>
  </si>
  <si>
    <t>0,6</t>
  </si>
  <si>
    <t>1,64</t>
  </si>
  <si>
    <t>1,16</t>
  </si>
  <si>
    <t>3,86</t>
  </si>
  <si>
    <t>4,39</t>
  </si>
  <si>
    <t>6,75</t>
  </si>
  <si>
    <t>2,04</t>
  </si>
  <si>
    <t>2,7</t>
  </si>
  <si>
    <t>2,27</t>
  </si>
  <si>
    <t>2,76</t>
  </si>
  <si>
    <t>2,94</t>
  </si>
  <si>
    <t>Gols de fora da área/90</t>
  </si>
  <si>
    <t>Remates de fora da área</t>
  </si>
  <si>
    <t>Remates de fora da área/90</t>
  </si>
  <si>
    <t>Conversão dos remates de fora da área</t>
  </si>
  <si>
    <t>Girona</t>
  </si>
  <si>
    <t>Completa</t>
  </si>
  <si>
    <t>Eintracht Frankfurt</t>
  </si>
  <si>
    <t>FC Köln</t>
  </si>
  <si>
    <t>172 cm</t>
  </si>
  <si>
    <t>138m € p/m</t>
  </si>
  <si>
    <t>183m € p/m</t>
  </si>
  <si>
    <t>Kaiserslautern</t>
  </si>
  <si>
    <t>Hertha</t>
  </si>
  <si>
    <t>230m € p/m</t>
  </si>
  <si>
    <t>Schalke 04</t>
  </si>
  <si>
    <t>FIN</t>
  </si>
  <si>
    <t>Naatan Skyttä</t>
  </si>
  <si>
    <t>5,4M €</t>
  </si>
  <si>
    <t>270m € p/m</t>
  </si>
  <si>
    <t>176m € p/m</t>
  </si>
  <si>
    <t>155,6 km</t>
  </si>
  <si>
    <t>147m € p/m</t>
  </si>
  <si>
    <t>Jakob Breum</t>
  </si>
  <si>
    <t>206,5 km</t>
  </si>
  <si>
    <t>9,8M € - 14,5M €</t>
  </si>
  <si>
    <t>127m € p/m</t>
  </si>
  <si>
    <t>174,0 km</t>
  </si>
  <si>
    <t>157,2 km</t>
  </si>
  <si>
    <t>Ismaël Doukouré</t>
  </si>
  <si>
    <t>29M €</t>
  </si>
  <si>
    <t>Gibert Jordana</t>
  </si>
  <si>
    <t>187,7 km</t>
  </si>
  <si>
    <t>36M €</t>
  </si>
  <si>
    <t>67m € p/m</t>
  </si>
  <si>
    <t>Brest</t>
  </si>
  <si>
    <t>188,8 km</t>
  </si>
  <si>
    <t>Real Betis</t>
  </si>
  <si>
    <t>Sergi Altimira</t>
  </si>
  <si>
    <t>27M € - 31M €</t>
  </si>
  <si>
    <t>262m € p/m</t>
  </si>
  <si>
    <t>CMR</t>
  </si>
  <si>
    <t>Valentin Atangana</t>
  </si>
  <si>
    <t>204,7 km</t>
  </si>
  <si>
    <t>6,6M € - 8M €</t>
  </si>
  <si>
    <t>15M €</t>
  </si>
  <si>
    <t>Joris Chotard</t>
  </si>
  <si>
    <t>187,3 km</t>
  </si>
  <si>
    <t>5,6M € - 6,8M €</t>
  </si>
  <si>
    <t>VEN</t>
  </si>
  <si>
    <t>Toulouse</t>
  </si>
  <si>
    <t>Cristian Cásseres</t>
  </si>
  <si>
    <t>4,5M € - 6,6M €</t>
  </si>
  <si>
    <t>146m € p/m</t>
  </si>
  <si>
    <t>Eric Martel</t>
  </si>
  <si>
    <t>177,0 km</t>
  </si>
  <si>
    <t>178,5 km</t>
  </si>
  <si>
    <t>Boris Mamuzah Lum</t>
  </si>
  <si>
    <t>14,5M € - 16M €</t>
  </si>
  <si>
    <t>Fin pra fora /90</t>
  </si>
  <si>
    <t>Finalizações pra fora</t>
  </si>
  <si>
    <t>Finalizações Tentadas</t>
  </si>
  <si>
    <t>191 cm</t>
  </si>
  <si>
    <t>171 cm</t>
  </si>
  <si>
    <t>Anderson</t>
  </si>
  <si>
    <t>Adriel</t>
  </si>
  <si>
    <t>Total de Cartões /90</t>
  </si>
  <si>
    <t>D (C)</t>
  </si>
  <si>
    <t>0.48</t>
  </si>
  <si>
    <t>Finalizações Defendidas</t>
  </si>
  <si>
    <t>Finalizações Def /90</t>
  </si>
  <si>
    <r>
      <t>% Finalizações que foram</t>
    </r>
    <r>
      <rPr>
        <b/>
        <sz val="10"/>
        <color theme="0" tint="0.79998168889431442"/>
        <rFont val="Verdana"/>
        <family val="2"/>
      </rPr>
      <t xml:space="preserve"> em direção gol</t>
    </r>
  </si>
  <si>
    <t>Somente Pé Esquerdo</t>
  </si>
  <si>
    <t>D/DA (E)</t>
  </si>
  <si>
    <t>183 cm</t>
  </si>
  <si>
    <t>0.73</t>
  </si>
  <si>
    <t>0.34</t>
  </si>
  <si>
    <t>MD, M (C)</t>
  </si>
  <si>
    <t>MO (DE)</t>
  </si>
  <si>
    <t>10,1 km</t>
  </si>
  <si>
    <t>4.58</t>
  </si>
  <si>
    <t>D/DA (D)</t>
  </si>
  <si>
    <t>Matheus Rocha</t>
  </si>
  <si>
    <t>São José (SP)</t>
  </si>
  <si>
    <t>174 cm</t>
  </si>
  <si>
    <t>€2m - €9m</t>
  </si>
  <si>
    <t>€4,4m p/m</t>
  </si>
  <si>
    <t>0.02</t>
  </si>
  <si>
    <t>0.03</t>
  </si>
  <si>
    <t>36,3 km</t>
  </si>
  <si>
    <t>Trn</t>
  </si>
  <si>
    <t>Felippe Borges</t>
  </si>
  <si>
    <t>€2,3m p/m</t>
  </si>
  <si>
    <t>0.01</t>
  </si>
  <si>
    <t>37,5 km</t>
  </si>
  <si>
    <t>Euller</t>
  </si>
  <si>
    <t>€0 - €8m</t>
  </si>
  <si>
    <t>0.06</t>
  </si>
  <si>
    <t>29,2 km</t>
  </si>
  <si>
    <t>D (C), MD</t>
  </si>
  <si>
    <t>Iran Sidny</t>
  </si>
  <si>
    <t>€1m - €3,5m</t>
  </si>
  <si>
    <t>0.05</t>
  </si>
  <si>
    <t>29,3 km</t>
  </si>
  <si>
    <t>Lucas Reis</t>
  </si>
  <si>
    <t>€0 - €10m</t>
  </si>
  <si>
    <t>N/D</t>
  </si>
  <si>
    <t>1.14</t>
  </si>
  <si>
    <t>0.08</t>
  </si>
  <si>
    <t>D (E), MD, M (C)</t>
  </si>
  <si>
    <t>Martineli</t>
  </si>
  <si>
    <t>182 cm</t>
  </si>
  <si>
    <t>€3,4m p/m</t>
  </si>
  <si>
    <t>0.2</t>
  </si>
  <si>
    <t>35,4 km</t>
  </si>
  <si>
    <t>M (E), MO (EC)</t>
  </si>
  <si>
    <t>Gabriel Ramos</t>
  </si>
  <si>
    <t>€130m - €210m</t>
  </si>
  <si>
    <t>€20,5m p/m</t>
  </si>
  <si>
    <t>0.98</t>
  </si>
  <si>
    <t>30,6 km</t>
  </si>
  <si>
    <t>Cristiano</t>
  </si>
  <si>
    <t>€14m - €35m</t>
  </si>
  <si>
    <t>€5,5m p/m</t>
  </si>
  <si>
    <t>0.21</t>
  </si>
  <si>
    <t>31,3 km</t>
  </si>
  <si>
    <t>Thomaz Carvalho</t>
  </si>
  <si>
    <t>€1m - €4m</t>
  </si>
  <si>
    <t>28,6 km</t>
  </si>
  <si>
    <t>Alv</t>
  </si>
  <si>
    <t>M/MO (C)</t>
  </si>
  <si>
    <t>Diego Baiano</t>
  </si>
  <si>
    <t>0.62</t>
  </si>
  <si>
    <t>0.35</t>
  </si>
  <si>
    <t>Santo André</t>
  </si>
  <si>
    <t>0.44</t>
  </si>
  <si>
    <t>0.41</t>
  </si>
  <si>
    <t>€1,2m p/m</t>
  </si>
  <si>
    <t>0.19</t>
  </si>
  <si>
    <t>Rondoniense</t>
  </si>
  <si>
    <t>0.8</t>
  </si>
  <si>
    <t>0.31</t>
  </si>
  <si>
    <t>Ji-Paraná</t>
  </si>
  <si>
    <t>0.23</t>
  </si>
  <si>
    <t>Gregory</t>
  </si>
  <si>
    <t>Esportiva Itapirense</t>
  </si>
  <si>
    <t>6 (1)</t>
  </si>
  <si>
    <t>0.25</t>
  </si>
  <si>
    <t>60,3 km</t>
  </si>
  <si>
    <t>170 cm</t>
  </si>
  <si>
    <t>0.14</t>
  </si>
  <si>
    <t>União Suzano</t>
  </si>
  <si>
    <t>0.58</t>
  </si>
  <si>
    <t>Quixadá</t>
  </si>
  <si>
    <t>Pro</t>
  </si>
  <si>
    <t>0.1</t>
  </si>
  <si>
    <t>Brasília</t>
  </si>
  <si>
    <t>0.45</t>
  </si>
  <si>
    <t>0.3</t>
  </si>
  <si>
    <t>Pedro Scaramussa</t>
  </si>
  <si>
    <t>€1,9m p/m</t>
  </si>
  <si>
    <t>Monte Azul</t>
  </si>
  <si>
    <t>3 (3)</t>
  </si>
  <si>
    <t>0.4</t>
  </si>
  <si>
    <t>43,4 km</t>
  </si>
  <si>
    <t>43,6 km</t>
  </si>
  <si>
    <t>0.18</t>
  </si>
  <si>
    <t>Paulinho</t>
  </si>
  <si>
    <t>Bela Vista (TO)</t>
  </si>
  <si>
    <t>46,2 km</t>
  </si>
  <si>
    <t>Negueba</t>
  </si>
  <si>
    <t>São José (AP)</t>
  </si>
  <si>
    <t>1.32</t>
  </si>
  <si>
    <t>45,8 km</t>
  </si>
  <si>
    <t>Bruno Santos</t>
  </si>
  <si>
    <t>€4,7m p/m</t>
  </si>
  <si>
    <t>XV de Jaú</t>
  </si>
  <si>
    <t>45,0 km</t>
  </si>
  <si>
    <t>Comercial (SP)</t>
  </si>
  <si>
    <t>0.13</t>
  </si>
  <si>
    <t>Enzo Faria</t>
  </si>
  <si>
    <t>Araçatuba</t>
  </si>
  <si>
    <t>0.22</t>
  </si>
  <si>
    <t>36,8 km</t>
  </si>
  <si>
    <t>Capa</t>
  </si>
  <si>
    <t>Ypiranga (AP)</t>
  </si>
  <si>
    <t>1.49</t>
  </si>
  <si>
    <t>41,8 km</t>
  </si>
  <si>
    <t>Várzea Grande</t>
  </si>
  <si>
    <t>Jefinho</t>
  </si>
  <si>
    <t>Atlético Gloriense</t>
  </si>
  <si>
    <t>35,1 km</t>
  </si>
  <si>
    <t>44,8 km</t>
  </si>
  <si>
    <t>Linense (SP)</t>
  </si>
  <si>
    <t>0.24</t>
  </si>
  <si>
    <t>Fábio Bêh</t>
  </si>
  <si>
    <t>Santa Cruz (AC)</t>
  </si>
  <si>
    <t>0.74</t>
  </si>
  <si>
    <t>Inter de Bebedouro</t>
  </si>
  <si>
    <t>33,2 km</t>
  </si>
  <si>
    <t>34,7 km</t>
  </si>
  <si>
    <t>0.38</t>
  </si>
  <si>
    <t>Ryan</t>
  </si>
  <si>
    <t>Patriotas (PR)</t>
  </si>
  <si>
    <t>0.42</t>
  </si>
  <si>
    <t>28,2 km</t>
  </si>
  <si>
    <t>36,2 km</t>
  </si>
  <si>
    <t>0.29</t>
  </si>
  <si>
    <t>0,0 km</t>
  </si>
  <si>
    <t>57,0 km</t>
  </si>
  <si>
    <t>0.09</t>
  </si>
  <si>
    <t>Joanderson</t>
  </si>
  <si>
    <t>198 cm</t>
  </si>
  <si>
    <t>€2,2m p/m</t>
  </si>
  <si>
    <t>51,6 km</t>
  </si>
  <si>
    <t>0.15</t>
  </si>
  <si>
    <t>Kauã Victor</t>
  </si>
  <si>
    <t>55,9 km</t>
  </si>
  <si>
    <t>Wembley</t>
  </si>
  <si>
    <t>54,2 km</t>
  </si>
  <si>
    <t>1.34</t>
  </si>
  <si>
    <t>1.13</t>
  </si>
  <si>
    <t>Davy Einstein</t>
  </si>
  <si>
    <t>Inhumas</t>
  </si>
  <si>
    <t>49,7 km</t>
  </si>
  <si>
    <t>Elielton</t>
  </si>
  <si>
    <t>Independente (AP)</t>
  </si>
  <si>
    <t>Sandoval</t>
  </si>
  <si>
    <t>35,9 km</t>
  </si>
  <si>
    <t>0.65</t>
  </si>
  <si>
    <t>Falcon (SE)</t>
  </si>
  <si>
    <t>42,2 km</t>
  </si>
  <si>
    <t>Taquaritinga</t>
  </si>
  <si>
    <t>Cristopher</t>
  </si>
  <si>
    <t>Felipe Augusto</t>
  </si>
  <si>
    <t>3 (2)</t>
  </si>
  <si>
    <t>Kaio Ellyson</t>
  </si>
  <si>
    <t>31,5 km</t>
  </si>
  <si>
    <t>0.52</t>
  </si>
  <si>
    <t>1.62</t>
  </si>
  <si>
    <t>Allan Souza</t>
  </si>
  <si>
    <t>72,6 km</t>
  </si>
  <si>
    <t>1.01</t>
  </si>
  <si>
    <t>Genus</t>
  </si>
  <si>
    <t>Élvis</t>
  </si>
  <si>
    <t>1.17</t>
  </si>
  <si>
    <t>67,2 km</t>
  </si>
  <si>
    <t>0.89</t>
  </si>
  <si>
    <t>Robert</t>
  </si>
  <si>
    <t>56,1 km</t>
  </si>
  <si>
    <t>Raphael Augusto</t>
  </si>
  <si>
    <t>57,5 km</t>
  </si>
  <si>
    <t>Gustavo Queiróz</t>
  </si>
  <si>
    <t>48,8 km</t>
  </si>
  <si>
    <t>Danilo</t>
  </si>
  <si>
    <t>1.11</t>
  </si>
  <si>
    <t>0.79</t>
  </si>
  <si>
    <t>Alessandro Sena</t>
  </si>
  <si>
    <t>44,7 km</t>
  </si>
  <si>
    <t>Rafael Mineiro</t>
  </si>
  <si>
    <t>Galícia</t>
  </si>
  <si>
    <t>Gabriel Bonet</t>
  </si>
  <si>
    <t>39,7 km</t>
  </si>
  <si>
    <t>45,9 km</t>
  </si>
  <si>
    <t>106,4 km</t>
  </si>
  <si>
    <t>51,2 km</t>
  </si>
  <si>
    <t>42,7 km</t>
  </si>
  <si>
    <t>Chelsea</t>
  </si>
  <si>
    <t>ECU</t>
  </si>
  <si>
    <t>Moisés Caicedo</t>
  </si>
  <si>
    <t>€884m p/m</t>
  </si>
  <si>
    <t>372,8 km</t>
  </si>
  <si>
    <t>Martín Zubimendi</t>
  </si>
  <si>
    <t>Arsenal</t>
  </si>
  <si>
    <t>€76M - €92M</t>
  </si>
  <si>
    <t>€250m p/m</t>
  </si>
  <si>
    <t>38 (2)</t>
  </si>
  <si>
    <t>387,9 km</t>
  </si>
  <si>
    <t>Boubacar Kamara</t>
  </si>
  <si>
    <t>Aston Villa</t>
  </si>
  <si>
    <t>€44M - €67M</t>
  </si>
  <si>
    <t>€758m p/m</t>
  </si>
  <si>
    <t>406,2 km</t>
  </si>
  <si>
    <t>€581m p/m</t>
  </si>
  <si>
    <t>BP</t>
  </si>
  <si>
    <t>Manchester United</t>
  </si>
  <si>
    <t>31 (1)</t>
  </si>
  <si>
    <t>João Palhinha</t>
  </si>
  <si>
    <t>Tottenham</t>
  </si>
  <si>
    <t>€31M - €37M</t>
  </si>
  <si>
    <t>€237m p/m</t>
  </si>
  <si>
    <t>29 (9)</t>
  </si>
  <si>
    <t>332,7 km</t>
  </si>
  <si>
    <t>Jordan Henderson</t>
  </si>
  <si>
    <t>Brentford</t>
  </si>
  <si>
    <t>€587m p/m</t>
  </si>
  <si>
    <t>315,9 km</t>
  </si>
  <si>
    <t>URU</t>
  </si>
  <si>
    <t>Manuel Ugarte</t>
  </si>
  <si>
    <t>€82M - €98M</t>
  </si>
  <si>
    <t>27 (1)</t>
  </si>
  <si>
    <t>289,5 km</t>
  </si>
  <si>
    <t>Les</t>
  </si>
  <si>
    <t>NOR</t>
  </si>
  <si>
    <t>195 cm</t>
  </si>
  <si>
    <t>TrL</t>
  </si>
  <si>
    <t>Casemiro</t>
  </si>
  <si>
    <t>€14M - €21M</t>
  </si>
  <si>
    <t>€2,27M p/m</t>
  </si>
  <si>
    <t>243,5 km</t>
  </si>
  <si>
    <t>€50M - €76M</t>
  </si>
  <si>
    <t>BEL</t>
  </si>
  <si>
    <t>Youri Tielemans</t>
  </si>
  <si>
    <t>€814m p/m</t>
  </si>
  <si>
    <t>15 (5)</t>
  </si>
  <si>
    <t>149,5 km</t>
  </si>
  <si>
    <t>Pascal Groß</t>
  </si>
  <si>
    <t>Brighton</t>
  </si>
  <si>
    <t>128,8 km</t>
  </si>
  <si>
    <t>Rodri</t>
  </si>
  <si>
    <t>Manchester City</t>
  </si>
  <si>
    <t>€88M - €134M</t>
  </si>
  <si>
    <t>€1,38M p/m</t>
  </si>
  <si>
    <t>12 (1)</t>
  </si>
  <si>
    <t>119,9 km</t>
  </si>
  <si>
    <t>Erling Haaland</t>
  </si>
  <si>
    <t>€210M - €229M</t>
  </si>
  <si>
    <t>€4,42M p/m</t>
  </si>
  <si>
    <t>35 (1)</t>
  </si>
  <si>
    <t>2.13</t>
  </si>
  <si>
    <t>342,4 km</t>
  </si>
  <si>
    <t>SWE</t>
  </si>
  <si>
    <t>Viktor Gyökeres</t>
  </si>
  <si>
    <t>€71M - €90M</t>
  </si>
  <si>
    <t>€320m p/m</t>
  </si>
  <si>
    <t>350,7 km</t>
  </si>
  <si>
    <t>João Pedro</t>
  </si>
  <si>
    <t>€789m p/m</t>
  </si>
  <si>
    <t>3.55</t>
  </si>
  <si>
    <t>336,4 km</t>
  </si>
  <si>
    <t>Ollie Watkins</t>
  </si>
  <si>
    <t>€48M - €61M</t>
  </si>
  <si>
    <t>€657m p/m</t>
  </si>
  <si>
    <t>1.88</t>
  </si>
  <si>
    <t>375,9 km</t>
  </si>
  <si>
    <t>SVN</t>
  </si>
  <si>
    <t>Benjamin Šeško</t>
  </si>
  <si>
    <t>€70M - €107M</t>
  </si>
  <si>
    <t>€1,01M p/m</t>
  </si>
  <si>
    <t>3.82</t>
  </si>
  <si>
    <t>325,1 km</t>
  </si>
  <si>
    <t>Randal Kolo Muani</t>
  </si>
  <si>
    <t>€65M - €78M</t>
  </si>
  <si>
    <t>€754m p/m</t>
  </si>
  <si>
    <t>42 (1)</t>
  </si>
  <si>
    <t>5.27</t>
  </si>
  <si>
    <t>376,8 km</t>
  </si>
  <si>
    <t>GHA</t>
  </si>
  <si>
    <t>Antoine Semenyo</t>
  </si>
  <si>
    <t>€46M - €70M</t>
  </si>
  <si>
    <t>€747m p/m</t>
  </si>
  <si>
    <t>11 (27)</t>
  </si>
  <si>
    <t>1.56</t>
  </si>
  <si>
    <t>202,3 km</t>
  </si>
  <si>
    <t>Kai Havertz</t>
  </si>
  <si>
    <t>€84M - €102M</t>
  </si>
  <si>
    <t>€1,41M p/m</t>
  </si>
  <si>
    <t>14 (8)</t>
  </si>
  <si>
    <t>0.69</t>
  </si>
  <si>
    <t>129,4 km</t>
  </si>
  <si>
    <t>Jarrod Bowen</t>
  </si>
  <si>
    <t>West Ham</t>
  </si>
  <si>
    <t>€58M - €88M</t>
  </si>
  <si>
    <t>€632m p/m</t>
  </si>
  <si>
    <t>9.25</t>
  </si>
  <si>
    <t>363,4 km</t>
  </si>
  <si>
    <t>Jérémy Doku</t>
  </si>
  <si>
    <t>€119M - €150M</t>
  </si>
  <si>
    <t>€316m p/m</t>
  </si>
  <si>
    <t>3.27</t>
  </si>
  <si>
    <t>351,1 km</t>
  </si>
  <si>
    <t>Faltas pra um cartão</t>
  </si>
  <si>
    <r>
      <t xml:space="preserve">Faltas pra um cartão </t>
    </r>
    <r>
      <rPr>
        <b/>
        <sz val="9"/>
        <color rgb="FFFFFF00"/>
        <rFont val="Verdana"/>
        <family val="2"/>
      </rPr>
      <t>AMARELO</t>
    </r>
  </si>
  <si>
    <t>4,11</t>
  </si>
  <si>
    <t>4,12</t>
  </si>
  <si>
    <t>5,92</t>
  </si>
  <si>
    <t>2,96</t>
  </si>
  <si>
    <t>3,25</t>
  </si>
  <si>
    <t>3,16</t>
  </si>
  <si>
    <t>4,87</t>
  </si>
  <si>
    <t>1,55</t>
  </si>
  <si>
    <t>1,1</t>
  </si>
  <si>
    <t>4,23</t>
  </si>
  <si>
    <t>São Bento</t>
  </si>
  <si>
    <t>Vágner</t>
  </si>
  <si>
    <t>€11m p/m</t>
  </si>
  <si>
    <t>1.54</t>
  </si>
  <si>
    <t>Osasco Sporting</t>
  </si>
  <si>
    <t>Cassiano</t>
  </si>
  <si>
    <t>-0.9</t>
  </si>
  <si>
    <t>Cadu</t>
  </si>
  <si>
    <t>€1m - €9m</t>
  </si>
  <si>
    <t>-0.25</t>
  </si>
  <si>
    <t>Grêmio Prudente</t>
  </si>
  <si>
    <t>Pegorari</t>
  </si>
  <si>
    <t>€9,5m p/m</t>
  </si>
  <si>
    <t>-1.69</t>
  </si>
  <si>
    <t>Votuporanguense</t>
  </si>
  <si>
    <t>Gabriel Félix</t>
  </si>
  <si>
    <t>€1,5m - €5m</t>
  </si>
  <si>
    <t>-3.35</t>
  </si>
  <si>
    <t>Taubaté</t>
  </si>
  <si>
    <t>Samuel Pires</t>
  </si>
  <si>
    <t>-4.61</t>
  </si>
  <si>
    <t>Gabriel Gasparotto</t>
  </si>
  <si>
    <t>196 cm</t>
  </si>
  <si>
    <t>-6.97</t>
  </si>
  <si>
    <t>Igor</t>
  </si>
  <si>
    <t>-10.42</t>
  </si>
  <si>
    <t>Juventus (SP)</t>
  </si>
  <si>
    <t>Passarelli</t>
  </si>
  <si>
    <t>-1.17</t>
  </si>
  <si>
    <t>Jaílson</t>
  </si>
  <si>
    <t>€1m - €2m</t>
  </si>
  <si>
    <t>€4,8m p/m</t>
  </si>
  <si>
    <t>-3.05</t>
  </si>
  <si>
    <t>Índice de Cobertura</t>
  </si>
  <si>
    <t>Índice de Dominância Física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</si>
</sst>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%"/>
    <numFmt numFmtId="166" formatCode="_-[$€-2]\ * #,##0.00_ ;_-[$€-2]\ * \-#,##0.00\ ;_-[$€-2]\ * &quot;-&quot;??_ ;_-@_ "/>
    <numFmt numFmtId="167" formatCode="_-[$€-2]\ * #,##0.00_-;\-[$€-2]\ * #,##0.00_-;_-[$€-2]\ * &quot;-&quot;??_-;_-@_-"/>
    <numFmt numFmtId="168" formatCode="0.000"/>
    <numFmt numFmtId="169" formatCode="0.0000"/>
    <numFmt numFmtId="170" formatCode="[$€-2]\ #,##0;[Red]\-[$€-2]\ #,##0"/>
  </numFmts>
  <fonts count="92" x14ac:knownFonts="1">
    <font>
      <sz val="11"/>
      <color theme="1"/>
      <name val="Calibri"/>
      <family val="2"/>
      <scheme val="minor"/>
    </font>
    <font>
      <b/>
      <sz val="9"/>
      <color theme="1"/>
      <name val="Verdana"/>
      <family val="2"/>
    </font>
    <font>
      <sz val="9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9"/>
      <color theme="0" tint="0.79998168889431442"/>
      <name val="Verdana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0" tint="0.79998168889431442"/>
      <name val="Verdana"/>
      <family val="2"/>
    </font>
    <font>
      <b/>
      <sz val="9"/>
      <color theme="1" tint="4.9989318521683403E-2"/>
      <name val="Verdana"/>
      <family val="2"/>
    </font>
    <font>
      <b/>
      <sz val="8"/>
      <color theme="1" tint="4.9989318521683403E-2"/>
      <name val="Verdana"/>
      <family val="2"/>
    </font>
    <font>
      <b/>
      <i/>
      <sz val="10"/>
      <color theme="1" tint="4.9989318521683403E-2"/>
      <name val="Calibri"/>
      <family val="2"/>
      <scheme val="minor"/>
    </font>
    <font>
      <b/>
      <sz val="8"/>
      <color theme="1"/>
      <name val="Verdana"/>
      <family val="2"/>
    </font>
    <font>
      <b/>
      <sz val="9"/>
      <color theme="7" tint="0.39997558519241921"/>
      <name val="Verdana"/>
      <family val="2"/>
    </font>
    <font>
      <b/>
      <sz val="9"/>
      <color theme="5" tint="0.39997558519241921"/>
      <name val="Verdana"/>
      <family val="2"/>
    </font>
    <font>
      <b/>
      <sz val="9"/>
      <color rgb="FFFFFF00"/>
      <name val="Verdana"/>
      <family val="2"/>
    </font>
    <font>
      <b/>
      <sz val="9"/>
      <color theme="7" tint="0.79998168889431442"/>
      <name val="Verdana"/>
      <family val="2"/>
    </font>
    <font>
      <b/>
      <sz val="9"/>
      <color theme="0" tint="0.39997558519241921"/>
      <name val="Verdana"/>
      <family val="2"/>
    </font>
    <font>
      <sz val="11"/>
      <color theme="1"/>
      <name val="Calibri"/>
      <family val="2"/>
    </font>
    <font>
      <b/>
      <sz val="11"/>
      <color theme="1" tint="4.9989318521683403E-2"/>
      <name val="Calibri"/>
      <family val="2"/>
      <scheme val="minor"/>
    </font>
    <font>
      <b/>
      <sz val="12"/>
      <color theme="1"/>
      <name val="Calibri"/>
      <family val="2"/>
    </font>
    <font>
      <b/>
      <sz val="9"/>
      <color theme="4" tint="-0.499984740745262"/>
      <name val="Verdana"/>
      <family val="2"/>
    </font>
    <font>
      <b/>
      <sz val="9"/>
      <color theme="0" tint="0.59999389629810485"/>
      <name val="Verdana"/>
      <family val="2"/>
    </font>
    <font>
      <b/>
      <sz val="11"/>
      <color theme="1"/>
      <name val="Calibri"/>
      <family val="2"/>
    </font>
    <font>
      <b/>
      <sz val="9"/>
      <color theme="1" tint="0.14999847407452621"/>
      <name val="Verdana"/>
      <family val="2"/>
    </font>
    <font>
      <b/>
      <sz val="9"/>
      <color theme="5" tint="0.59999389629810485"/>
      <name val="Verdana"/>
      <family val="2"/>
    </font>
    <font>
      <b/>
      <i/>
      <u/>
      <sz val="11"/>
      <color theme="1"/>
      <name val="Calibri"/>
      <family val="2"/>
      <scheme val="minor"/>
    </font>
    <font>
      <b/>
      <sz val="8"/>
      <color theme="0" tint="0.39997558519241921"/>
      <name val="Verdana"/>
      <family val="2"/>
    </font>
    <font>
      <b/>
      <i/>
      <sz val="11"/>
      <color theme="1"/>
      <name val="Calibri"/>
      <family val="2"/>
      <scheme val="minor"/>
    </font>
    <font>
      <b/>
      <sz val="8"/>
      <color theme="7" tint="0.39997558519241921"/>
      <name val="Verdana"/>
      <family val="2"/>
    </font>
    <font>
      <b/>
      <sz val="8"/>
      <color theme="0" tint="0.59999389629810485"/>
      <name val="Verdana"/>
      <family val="2"/>
    </font>
    <font>
      <b/>
      <sz val="8"/>
      <color rgb="FFFF0000"/>
      <name val="Verdana"/>
      <family val="2"/>
    </font>
    <font>
      <b/>
      <i/>
      <sz val="11"/>
      <color theme="1" tint="0.14999847407452621"/>
      <name val="Verdana"/>
      <family val="2"/>
    </font>
    <font>
      <b/>
      <sz val="9"/>
      <color rgb="FFFF9B9B"/>
      <name val="Verdana"/>
      <family val="2"/>
    </font>
    <font>
      <b/>
      <sz val="9"/>
      <color rgb="FFC00000"/>
      <name val="Verdana"/>
      <family val="2"/>
    </font>
    <font>
      <b/>
      <i/>
      <sz val="11"/>
      <color theme="1"/>
      <name val="Calibri"/>
      <family val="2"/>
    </font>
    <font>
      <b/>
      <sz val="9"/>
      <color theme="7" tint="0.59999389629810485"/>
      <name val="Verdana"/>
      <family val="2"/>
    </font>
    <font>
      <b/>
      <sz val="10"/>
      <color rgb="FF00B0F0"/>
      <name val="Verdana"/>
      <family val="2"/>
    </font>
    <font>
      <b/>
      <sz val="10"/>
      <color theme="4" tint="0.59999389629810485"/>
      <name val="Verdana"/>
      <family val="2"/>
    </font>
    <font>
      <b/>
      <sz val="9"/>
      <color theme="3" tint="-0.499984740745262"/>
      <name val="Verdana"/>
      <family val="2"/>
    </font>
    <font>
      <b/>
      <sz val="9"/>
      <color rgb="FFFF0000"/>
      <name val="Verdana"/>
      <family val="2"/>
    </font>
    <font>
      <b/>
      <sz val="11"/>
      <color theme="1" tint="0.14999847407452621"/>
      <name val="Calibri"/>
      <family val="2"/>
    </font>
    <font>
      <b/>
      <sz val="9"/>
      <color rgb="FF17230F"/>
      <name val="Verdana"/>
      <family val="2"/>
    </font>
    <font>
      <b/>
      <sz val="14"/>
      <color theme="4" tint="-0.499984740745262"/>
      <name val="Calibri"/>
      <family val="2"/>
      <scheme val="minor"/>
    </font>
    <font>
      <b/>
      <sz val="9"/>
      <color theme="9" tint="0.39997558519241921"/>
      <name val="Verdana"/>
      <family val="2"/>
    </font>
    <font>
      <b/>
      <sz val="11"/>
      <color theme="0" tint="0.79998168889431442"/>
      <name val="Calibri"/>
      <family val="2"/>
    </font>
    <font>
      <b/>
      <sz val="8"/>
      <color theme="5" tint="0.39997558519241921"/>
      <name val="Verdana"/>
      <family val="2"/>
    </font>
    <font>
      <b/>
      <sz val="9"/>
      <color theme="4" tint="0.79998168889431442"/>
      <name val="Verdana"/>
      <family val="2"/>
    </font>
    <font>
      <b/>
      <sz val="9"/>
      <color indexed="81"/>
      <name val="Segoe UI"/>
      <family val="2"/>
    </font>
    <font>
      <b/>
      <sz val="9"/>
      <color theme="5" tint="-0.249977111117893"/>
      <name val="Verdana"/>
      <family val="2"/>
    </font>
    <font>
      <sz val="9"/>
      <color indexed="81"/>
      <name val="Segoe UI"/>
      <family val="2"/>
    </font>
    <font>
      <b/>
      <sz val="10"/>
      <color indexed="81"/>
      <name val="Segoe UI"/>
      <family val="2"/>
    </font>
    <font>
      <b/>
      <sz val="9"/>
      <color rgb="FFFFC000"/>
      <name val="Verdana"/>
      <family val="2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 tint="0.79998168889431442"/>
      <name val="Calibri"/>
      <family val="2"/>
      <scheme val="minor"/>
    </font>
    <font>
      <b/>
      <sz val="12"/>
      <color theme="0" tint="0.3999755851924192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9"/>
      <color theme="0" tint="0.79998168889431442"/>
      <name val="Calibri"/>
      <family val="2"/>
      <scheme val="minor"/>
    </font>
    <font>
      <b/>
      <sz val="8"/>
      <color theme="0" tint="0.7999816888943144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 tint="0.79998168889431442"/>
      <name val="Calibri"/>
      <family val="2"/>
      <scheme val="minor"/>
    </font>
    <font>
      <b/>
      <sz val="16"/>
      <color theme="0" tint="0.7999816888943144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4"/>
      <color theme="0" tint="0.39997558519241921"/>
      <name val="Calibri"/>
      <family val="2"/>
      <scheme val="minor"/>
    </font>
    <font>
      <b/>
      <sz val="12"/>
      <color theme="0" tint="0.79998168889431442"/>
      <name val="Calibri"/>
      <family val="2"/>
      <scheme val="minor"/>
    </font>
    <font>
      <b/>
      <sz val="9"/>
      <color theme="0" tint="-4.9989318521683403E-2"/>
      <name val="Verdana"/>
      <family val="2"/>
    </font>
    <font>
      <b/>
      <sz val="9"/>
      <color rgb="FFFCB6B8"/>
      <name val="Verdana"/>
      <family val="2"/>
    </font>
    <font>
      <b/>
      <sz val="9"/>
      <color theme="9" tint="0.79998168889431442"/>
      <name val="Verdana"/>
      <family val="2"/>
    </font>
    <font>
      <b/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5" tint="0.79998168889431442"/>
      <name val="Verdana"/>
      <family val="2"/>
    </font>
    <font>
      <b/>
      <sz val="11"/>
      <color theme="1" tint="4.9989318521683403E-2"/>
      <name val="Calibri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 tint="4.9989318521683403E-2"/>
      <name val="Verdana"/>
      <family val="2"/>
    </font>
    <font>
      <b/>
      <sz val="9"/>
      <color theme="0"/>
      <name val="Verdana"/>
      <family val="2"/>
    </font>
    <font>
      <b/>
      <sz val="11"/>
      <color rgb="FF9A0000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9"/>
      <color rgb="FFF8696B"/>
      <name val="Verdana"/>
      <family val="2"/>
    </font>
    <font>
      <b/>
      <sz val="8"/>
      <color theme="4" tint="0.39997558519241921"/>
      <name val="Verdana"/>
      <family val="2"/>
    </font>
    <font>
      <b/>
      <sz val="9"/>
      <color theme="4" tint="0.39997558519241921"/>
      <name val="Verdana"/>
      <family val="2"/>
    </font>
    <font>
      <b/>
      <sz val="9"/>
      <color rgb="FFFFC85B"/>
      <name val="Verdana"/>
      <family val="2"/>
    </font>
    <font>
      <sz val="11"/>
      <color theme="2" tint="-0.89999084444715716"/>
      <name val="Calibri"/>
      <family val="2"/>
      <scheme val="minor"/>
    </font>
    <font>
      <sz val="10"/>
      <color theme="0" tint="0.79998168889431442"/>
      <name val="Verdana"/>
      <family val="2"/>
    </font>
    <font>
      <b/>
      <sz val="10"/>
      <color theme="0" tint="0.79998168889431442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D1457"/>
        <bgColor indexed="64"/>
      </patternFill>
    </fill>
    <fill>
      <patternFill patternType="solid">
        <fgColor rgb="FF3B071D"/>
        <bgColor indexed="64"/>
      </patternFill>
    </fill>
    <fill>
      <patternFill patternType="solid">
        <fgColor rgb="FF680C3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E3671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6737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5A8B2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48000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684D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E66914"/>
        <bgColor indexed="64"/>
      </patternFill>
    </fill>
    <fill>
      <patternFill patternType="solid">
        <fgColor rgb="FFA40000"/>
        <bgColor indexed="64"/>
      </patternFill>
    </fill>
    <fill>
      <patternFill patternType="solid">
        <fgColor rgb="FF20538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4F8A"/>
        <bgColor indexed="64"/>
      </patternFill>
    </fill>
  </fills>
  <borders count="2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408">
    <xf numFmtId="0" fontId="0" fillId="0" borderId="0" xfId="0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 wrapText="1"/>
    </xf>
    <xf numFmtId="2" fontId="0" fillId="4" borderId="2" xfId="0" applyNumberFormat="1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left" vertical="center"/>
    </xf>
    <xf numFmtId="43" fontId="4" fillId="6" borderId="2" xfId="1" applyFont="1" applyFill="1" applyBorder="1" applyAlignment="1">
      <alignment horizontal="center" vertical="center" wrapText="1"/>
    </xf>
    <xf numFmtId="43" fontId="0" fillId="0" borderId="0" xfId="1" applyFont="1"/>
    <xf numFmtId="9" fontId="0" fillId="4" borderId="2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9" fillId="13" borderId="2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165" fontId="0" fillId="4" borderId="2" xfId="2" applyNumberFormat="1" applyFont="1" applyFill="1" applyBorder="1" applyAlignment="1">
      <alignment horizontal="center" vertical="center"/>
    </xf>
    <xf numFmtId="10" fontId="0" fillId="4" borderId="2" xfId="2" applyNumberFormat="1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 wrapText="1"/>
    </xf>
    <xf numFmtId="0" fontId="8" fillId="18" borderId="2" xfId="0" applyFont="1" applyFill="1" applyBorder="1" applyAlignment="1">
      <alignment horizontal="center" vertical="center" wrapText="1"/>
    </xf>
    <xf numFmtId="164" fontId="0" fillId="4" borderId="2" xfId="0" applyNumberForma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left" vertical="center"/>
    </xf>
    <xf numFmtId="0" fontId="11" fillId="4" borderId="2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 wrapText="1"/>
    </xf>
    <xf numFmtId="0" fontId="12" fillId="13" borderId="2" xfId="0" applyFont="1" applyFill="1" applyBorder="1" applyAlignment="1">
      <alignment horizontal="center" vertical="center" wrapText="1"/>
    </xf>
    <xf numFmtId="0" fontId="4" fillId="22" borderId="2" xfId="0" applyFont="1" applyFill="1" applyBorder="1" applyAlignment="1">
      <alignment horizontal="center" vertical="center" wrapText="1"/>
    </xf>
    <xf numFmtId="0" fontId="1" fillId="17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4" fontId="0" fillId="8" borderId="2" xfId="0" applyNumberForma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 wrapText="1"/>
    </xf>
    <xf numFmtId="0" fontId="9" fillId="17" borderId="2" xfId="0" applyFont="1" applyFill="1" applyBorder="1" applyAlignment="1">
      <alignment horizontal="center" vertical="center" wrapText="1"/>
    </xf>
    <xf numFmtId="0" fontId="9" fillId="5" borderId="2" xfId="0" applyFont="1" applyFill="1" applyBorder="1" applyAlignment="1">
      <alignment horizontal="center" vertical="center" wrapText="1"/>
    </xf>
    <xf numFmtId="0" fontId="13" fillId="26" borderId="2" xfId="0" applyFont="1" applyFill="1" applyBorder="1" applyAlignment="1">
      <alignment horizontal="center" vertical="center" wrapText="1"/>
    </xf>
    <xf numFmtId="0" fontId="14" fillId="25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27" borderId="2" xfId="0" applyFont="1" applyFill="1" applyBorder="1" applyAlignment="1">
      <alignment horizontal="center" vertical="center" wrapText="1"/>
    </xf>
    <xf numFmtId="0" fontId="16" fillId="26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3" fillId="27" borderId="2" xfId="0" applyFont="1" applyFill="1" applyBorder="1" applyAlignment="1">
      <alignment horizontal="center" vertical="center" wrapText="1"/>
    </xf>
    <xf numFmtId="43" fontId="1" fillId="3" borderId="2" xfId="1" applyFont="1" applyFill="1" applyBorder="1" applyAlignment="1">
      <alignment horizontal="center" vertical="center" wrapText="1"/>
    </xf>
    <xf numFmtId="43" fontId="1" fillId="20" borderId="2" xfId="1" applyFont="1" applyFill="1" applyBorder="1" applyAlignment="1">
      <alignment horizontal="center" vertical="center" wrapText="1"/>
    </xf>
    <xf numFmtId="0" fontId="9" fillId="30" borderId="4" xfId="0" applyFont="1" applyFill="1" applyBorder="1" applyAlignment="1">
      <alignment horizontal="center" vertical="center" wrapText="1"/>
    </xf>
    <xf numFmtId="0" fontId="9" fillId="29" borderId="2" xfId="0" applyFont="1" applyFill="1" applyBorder="1" applyAlignment="1">
      <alignment horizontal="center" vertical="center" wrapText="1"/>
    </xf>
    <xf numFmtId="0" fontId="1" fillId="28" borderId="2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8" fillId="2" borderId="3" xfId="0" applyFont="1" applyFill="1" applyBorder="1" applyAlignment="1">
      <alignment horizontal="center" vertical="center" wrapText="1"/>
    </xf>
    <xf numFmtId="1" fontId="18" fillId="2" borderId="3" xfId="0" applyNumberFormat="1" applyFont="1" applyFill="1" applyBorder="1" applyAlignment="1">
      <alignment horizontal="center" vertical="center" wrapText="1"/>
    </xf>
    <xf numFmtId="2" fontId="18" fillId="2" borderId="3" xfId="0" applyNumberFormat="1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165" fontId="18" fillId="2" borderId="3" xfId="0" applyNumberFormat="1" applyFont="1" applyFill="1" applyBorder="1" applyAlignment="1">
      <alignment horizontal="center" vertical="center" wrapText="1"/>
    </xf>
    <xf numFmtId="165" fontId="18" fillId="2" borderId="3" xfId="2" applyNumberFormat="1" applyFont="1" applyFill="1" applyBorder="1" applyAlignment="1">
      <alignment horizontal="center" vertical="center" wrapText="1"/>
    </xf>
    <xf numFmtId="3" fontId="18" fillId="2" borderId="3" xfId="0" applyNumberFormat="1" applyFont="1" applyFill="1" applyBorder="1" applyAlignment="1">
      <alignment horizontal="center" vertical="center" wrapText="1"/>
    </xf>
    <xf numFmtId="4" fontId="18" fillId="2" borderId="3" xfId="0" applyNumberFormat="1" applyFont="1" applyFill="1" applyBorder="1" applyAlignment="1">
      <alignment horizontal="center" vertical="center" wrapText="1"/>
    </xf>
    <xf numFmtId="10" fontId="18" fillId="2" borderId="3" xfId="2" applyNumberFormat="1" applyFont="1" applyFill="1" applyBorder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0" fontId="18" fillId="8" borderId="3" xfId="0" applyFont="1" applyFill="1" applyBorder="1" applyAlignment="1">
      <alignment vertical="center" wrapText="1"/>
    </xf>
    <xf numFmtId="0" fontId="18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left" vertical="center"/>
    </xf>
    <xf numFmtId="0" fontId="20" fillId="5" borderId="3" xfId="0" applyFont="1" applyFill="1" applyBorder="1" applyAlignment="1">
      <alignment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3" fillId="27" borderId="0" xfId="0" applyFont="1" applyFill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22" fillId="17" borderId="2" xfId="0" applyFont="1" applyFill="1" applyBorder="1" applyAlignment="1">
      <alignment horizontal="center" vertical="center" wrapText="1"/>
    </xf>
    <xf numFmtId="1" fontId="18" fillId="2" borderId="1" xfId="0" applyNumberFormat="1" applyFont="1" applyFill="1" applyBorder="1" applyAlignment="1">
      <alignment horizontal="center" vertical="center" wrapText="1"/>
    </xf>
    <xf numFmtId="2" fontId="18" fillId="2" borderId="1" xfId="0" applyNumberFormat="1" applyFont="1" applyFill="1" applyBorder="1" applyAlignment="1">
      <alignment horizontal="center" vertical="center" wrapText="1"/>
    </xf>
    <xf numFmtId="0" fontId="9" fillId="32" borderId="2" xfId="0" applyFont="1" applyFill="1" applyBorder="1" applyAlignment="1">
      <alignment horizontal="center" vertical="center" wrapText="1"/>
    </xf>
    <xf numFmtId="0" fontId="9" fillId="31" borderId="2" xfId="0" applyFont="1" applyFill="1" applyBorder="1" applyAlignment="1">
      <alignment horizontal="center" vertical="center" wrapText="1"/>
    </xf>
    <xf numFmtId="10" fontId="18" fillId="2" borderId="1" xfId="2" applyNumberFormat="1" applyFont="1" applyFill="1" applyBorder="1" applyAlignment="1">
      <alignment horizontal="center" vertical="center" wrapText="1"/>
    </xf>
    <xf numFmtId="0" fontId="9" fillId="34" borderId="2" xfId="0" applyFont="1" applyFill="1" applyBorder="1" applyAlignment="1">
      <alignment horizontal="center" vertical="center" wrapText="1"/>
    </xf>
    <xf numFmtId="0" fontId="9" fillId="33" borderId="2" xfId="0" applyFont="1" applyFill="1" applyBorder="1" applyAlignment="1">
      <alignment horizontal="center" vertical="center" wrapText="1"/>
    </xf>
    <xf numFmtId="0" fontId="9" fillId="20" borderId="2" xfId="0" applyFont="1" applyFill="1" applyBorder="1" applyAlignment="1">
      <alignment horizontal="center" vertical="center" wrapText="1"/>
    </xf>
    <xf numFmtId="3" fontId="18" fillId="2" borderId="1" xfId="0" applyNumberFormat="1" applyFont="1" applyFill="1" applyBorder="1" applyAlignment="1">
      <alignment horizontal="center" vertical="center" wrapText="1"/>
    </xf>
    <xf numFmtId="10" fontId="23" fillId="2" borderId="1" xfId="2" applyNumberFormat="1" applyFont="1" applyFill="1" applyBorder="1" applyAlignment="1">
      <alignment horizontal="center" vertical="center" wrapText="1"/>
    </xf>
    <xf numFmtId="0" fontId="13" fillId="21" borderId="2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/>
    </xf>
    <xf numFmtId="0" fontId="21" fillId="35" borderId="2" xfId="0" applyFont="1" applyFill="1" applyBorder="1" applyAlignment="1">
      <alignment horizontal="center" vertical="center" wrapText="1"/>
    </xf>
    <xf numFmtId="0" fontId="24" fillId="28" borderId="2" xfId="0" applyFont="1" applyFill="1" applyBorder="1" applyAlignment="1">
      <alignment horizontal="center" vertical="center" wrapText="1"/>
    </xf>
    <xf numFmtId="0" fontId="25" fillId="27" borderId="2" xfId="0" applyFont="1" applyFill="1" applyBorder="1" applyAlignment="1">
      <alignment horizontal="center" vertical="center" wrapText="1"/>
    </xf>
    <xf numFmtId="0" fontId="1" fillId="20" borderId="2" xfId="0" applyFont="1" applyFill="1" applyBorder="1" applyAlignment="1">
      <alignment horizontal="center" vertical="center" wrapText="1"/>
    </xf>
    <xf numFmtId="0" fontId="1" fillId="30" borderId="2" xfId="0" applyFont="1" applyFill="1" applyBorder="1" applyAlignment="1">
      <alignment horizontal="center" vertical="center" wrapText="1"/>
    </xf>
    <xf numFmtId="165" fontId="18" fillId="2" borderId="1" xfId="2" applyNumberFormat="1" applyFont="1" applyFill="1" applyBorder="1" applyAlignment="1">
      <alignment horizontal="center" vertical="center" wrapText="1"/>
    </xf>
    <xf numFmtId="0" fontId="4" fillId="36" borderId="2" xfId="0" applyFont="1" applyFill="1" applyBorder="1" applyAlignment="1">
      <alignment horizontal="center" vertical="center" wrapText="1"/>
    </xf>
    <xf numFmtId="0" fontId="4" fillId="37" borderId="2" xfId="0" applyFont="1" applyFill="1" applyBorder="1" applyAlignment="1">
      <alignment horizontal="center" vertical="center" wrapText="1"/>
    </xf>
    <xf numFmtId="43" fontId="13" fillId="21" borderId="2" xfId="1" applyFont="1" applyFill="1" applyBorder="1" applyAlignment="1">
      <alignment horizontal="center" vertical="center" wrapText="1"/>
    </xf>
    <xf numFmtId="1" fontId="26" fillId="3" borderId="2" xfId="0" applyNumberFormat="1" applyFont="1" applyFill="1" applyBorder="1" applyAlignment="1">
      <alignment horizontal="center" vertical="center"/>
    </xf>
    <xf numFmtId="0" fontId="22" fillId="16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 wrapText="1"/>
    </xf>
    <xf numFmtId="0" fontId="28" fillId="8" borderId="2" xfId="0" applyFont="1" applyFill="1" applyBorder="1" applyAlignment="1">
      <alignment horizontal="left" vertical="center"/>
    </xf>
    <xf numFmtId="0" fontId="4" fillId="38" borderId="2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vertical="center" wrapText="1"/>
    </xf>
    <xf numFmtId="165" fontId="0" fillId="4" borderId="2" xfId="0" applyNumberFormat="1" applyFill="1" applyBorder="1" applyAlignment="1">
      <alignment horizontal="center" vertical="center"/>
    </xf>
    <xf numFmtId="43" fontId="0" fillId="0" borderId="0" xfId="1" applyFont="1" applyAlignment="1">
      <alignment horizontal="center"/>
    </xf>
    <xf numFmtId="0" fontId="30" fillId="38" borderId="2" xfId="0" applyFont="1" applyFill="1" applyBorder="1" applyAlignment="1">
      <alignment horizontal="center" vertical="center" wrapText="1"/>
    </xf>
    <xf numFmtId="0" fontId="31" fillId="39" borderId="2" xfId="0" applyFont="1" applyFill="1" applyBorder="1" applyAlignment="1">
      <alignment horizontal="center" vertical="center" wrapText="1"/>
    </xf>
    <xf numFmtId="167" fontId="0" fillId="0" borderId="0" xfId="0" applyNumberFormat="1"/>
    <xf numFmtId="10" fontId="0" fillId="4" borderId="2" xfId="0" applyNumberFormat="1" applyFill="1" applyBorder="1" applyAlignment="1">
      <alignment horizontal="center" vertical="center"/>
    </xf>
    <xf numFmtId="167" fontId="9" fillId="29" borderId="2" xfId="0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43" fontId="32" fillId="11" borderId="2" xfId="1" applyFont="1" applyFill="1" applyBorder="1" applyAlignment="1">
      <alignment horizontal="center" vertical="center" wrapText="1"/>
    </xf>
    <xf numFmtId="0" fontId="24" fillId="11" borderId="2" xfId="0" applyFont="1" applyFill="1" applyBorder="1" applyAlignment="1">
      <alignment horizontal="center" vertical="center" wrapText="1"/>
    </xf>
    <xf numFmtId="0" fontId="0" fillId="40" borderId="2" xfId="0" applyFill="1" applyBorder="1"/>
    <xf numFmtId="0" fontId="4" fillId="41" borderId="2" xfId="0" applyFont="1" applyFill="1" applyBorder="1" applyAlignment="1">
      <alignment horizontal="center" vertical="center" wrapText="1"/>
    </xf>
    <xf numFmtId="10" fontId="18" fillId="2" borderId="3" xfId="0" applyNumberFormat="1" applyFont="1" applyFill="1" applyBorder="1" applyAlignment="1">
      <alignment horizontal="center" vertical="center" wrapText="1"/>
    </xf>
    <xf numFmtId="0" fontId="1" fillId="31" borderId="2" xfId="0" applyFont="1" applyFill="1" applyBorder="1" applyAlignment="1">
      <alignment horizontal="center" vertical="center" wrapText="1"/>
    </xf>
    <xf numFmtId="0" fontId="1" fillId="32" borderId="2" xfId="0" applyFont="1" applyFill="1" applyBorder="1" applyAlignment="1">
      <alignment horizontal="center" vertical="center" wrapText="1"/>
    </xf>
    <xf numFmtId="2" fontId="0" fillId="4" borderId="7" xfId="0" applyNumberFormat="1" applyFill="1" applyBorder="1" applyAlignment="1">
      <alignment horizontal="center" vertical="center"/>
    </xf>
    <xf numFmtId="43" fontId="32" fillId="11" borderId="6" xfId="1" applyFont="1" applyFill="1" applyBorder="1" applyAlignment="1">
      <alignment horizontal="center" vertical="center" wrapText="1"/>
    </xf>
    <xf numFmtId="43" fontId="1" fillId="5" borderId="2" xfId="1" applyFont="1" applyFill="1" applyBorder="1" applyAlignment="1">
      <alignment horizontal="center" vertical="center" wrapText="1"/>
    </xf>
    <xf numFmtId="43" fontId="1" fillId="5" borderId="5" xfId="1" applyFont="1" applyFill="1" applyBorder="1" applyAlignment="1">
      <alignment horizontal="center" vertical="center" wrapText="1"/>
    </xf>
    <xf numFmtId="43" fontId="1" fillId="8" borderId="2" xfId="1" applyFont="1" applyFill="1" applyBorder="1" applyAlignment="1">
      <alignment horizontal="center" vertical="center" wrapText="1"/>
    </xf>
    <xf numFmtId="43" fontId="4" fillId="41" borderId="2" xfId="1" applyFont="1" applyFill="1" applyBorder="1" applyAlignment="1">
      <alignment horizontal="center" vertical="center" wrapText="1"/>
    </xf>
    <xf numFmtId="43" fontId="33" fillId="41" borderId="2" xfId="1" applyFont="1" applyFill="1" applyBorder="1" applyAlignment="1">
      <alignment horizontal="center" vertical="center" wrapText="1"/>
    </xf>
    <xf numFmtId="43" fontId="13" fillId="41" borderId="2" xfId="1" applyFont="1" applyFill="1" applyBorder="1" applyAlignment="1">
      <alignment horizontal="center" vertical="center" wrapText="1"/>
    </xf>
    <xf numFmtId="43" fontId="34" fillId="5" borderId="2" xfId="1" applyFont="1" applyFill="1" applyBorder="1" applyAlignment="1">
      <alignment horizontal="center" vertical="center" wrapText="1"/>
    </xf>
    <xf numFmtId="43" fontId="9" fillId="8" borderId="2" xfId="1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34" fillId="2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25" fillId="15" borderId="2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1" fillId="23" borderId="0" xfId="0" applyFont="1" applyFill="1" applyAlignment="1">
      <alignment horizontal="center" vertical="center" wrapText="1"/>
    </xf>
    <xf numFmtId="0" fontId="4" fillId="14" borderId="4" xfId="0" applyFont="1" applyFill="1" applyBorder="1" applyAlignment="1">
      <alignment horizontal="center" vertical="center" wrapText="1"/>
    </xf>
    <xf numFmtId="0" fontId="4" fillId="15" borderId="4" xfId="0" applyFont="1" applyFill="1" applyBorder="1" applyAlignment="1">
      <alignment horizontal="center" vertical="center" wrapText="1"/>
    </xf>
    <xf numFmtId="0" fontId="4" fillId="21" borderId="4" xfId="0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9" fillId="28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12" fillId="28" borderId="2" xfId="0" applyFont="1" applyFill="1" applyBorder="1" applyAlignment="1">
      <alignment horizontal="center" vertical="center" wrapText="1"/>
    </xf>
    <xf numFmtId="0" fontId="8" fillId="41" borderId="2" xfId="0" applyFont="1" applyFill="1" applyBorder="1" applyAlignment="1">
      <alignment horizontal="center" vertical="center" wrapText="1"/>
    </xf>
    <xf numFmtId="0" fontId="4" fillId="26" borderId="2" xfId="0" applyFont="1" applyFill="1" applyBorder="1" applyAlignment="1">
      <alignment horizontal="center" vertical="center" wrapText="1"/>
    </xf>
    <xf numFmtId="0" fontId="34" fillId="12" borderId="2" xfId="0" applyFont="1" applyFill="1" applyBorder="1" applyAlignment="1">
      <alignment horizontal="center" vertical="center" wrapText="1"/>
    </xf>
    <xf numFmtId="1" fontId="28" fillId="5" borderId="2" xfId="0" applyNumberFormat="1" applyFont="1" applyFill="1" applyBorder="1" applyAlignment="1">
      <alignment horizontal="center" vertical="center"/>
    </xf>
    <xf numFmtId="1" fontId="28" fillId="4" borderId="2" xfId="0" applyNumberFormat="1" applyFont="1" applyFill="1" applyBorder="1" applyAlignment="1">
      <alignment horizontal="center" vertical="center"/>
    </xf>
    <xf numFmtId="1" fontId="35" fillId="2" borderId="3" xfId="0" applyNumberFormat="1" applyFont="1" applyFill="1" applyBorder="1" applyAlignment="1">
      <alignment horizontal="center" vertical="center" wrapText="1"/>
    </xf>
    <xf numFmtId="1" fontId="35" fillId="9" borderId="3" xfId="0" applyNumberFormat="1" applyFont="1" applyFill="1" applyBorder="1" applyAlignment="1">
      <alignment horizontal="center" vertical="center" wrapText="1"/>
    </xf>
    <xf numFmtId="0" fontId="9" fillId="24" borderId="4" xfId="0" applyFont="1" applyFill="1" applyBorder="1" applyAlignment="1">
      <alignment horizontal="center" vertical="center" wrapText="1"/>
    </xf>
    <xf numFmtId="14" fontId="0" fillId="16" borderId="2" xfId="0" applyNumberFormat="1" applyFill="1" applyBorder="1" applyAlignment="1">
      <alignment horizontal="center" vertical="center"/>
    </xf>
    <xf numFmtId="0" fontId="36" fillId="36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0" fontId="4" fillId="43" borderId="2" xfId="0" applyFont="1" applyFill="1" applyBorder="1" applyAlignment="1">
      <alignment horizontal="center" vertical="center" wrapText="1"/>
    </xf>
    <xf numFmtId="2" fontId="3" fillId="4" borderId="2" xfId="0" applyNumberFormat="1" applyFont="1" applyFill="1" applyBorder="1" applyAlignment="1">
      <alignment horizontal="center" vertical="center"/>
    </xf>
    <xf numFmtId="0" fontId="9" fillId="42" borderId="4" xfId="0" applyFont="1" applyFill="1" applyBorder="1" applyAlignment="1">
      <alignment horizontal="center" vertical="center" wrapText="1"/>
    </xf>
    <xf numFmtId="0" fontId="38" fillId="25" borderId="4" xfId="0" applyFont="1" applyFill="1" applyBorder="1" applyAlignment="1">
      <alignment horizontal="center" vertical="center" wrapText="1"/>
    </xf>
    <xf numFmtId="0" fontId="37" fillId="26" borderId="4" xfId="0" applyFont="1" applyFill="1" applyBorder="1" applyAlignment="1">
      <alignment horizontal="center" vertical="center" wrapText="1"/>
    </xf>
    <xf numFmtId="0" fontId="4" fillId="44" borderId="2" xfId="0" applyFont="1" applyFill="1" applyBorder="1" applyAlignment="1">
      <alignment horizontal="center" vertical="center" wrapText="1"/>
    </xf>
    <xf numFmtId="0" fontId="40" fillId="36" borderId="2" xfId="0" applyFont="1" applyFill="1" applyBorder="1" applyAlignment="1">
      <alignment horizontal="center" vertical="center" wrapText="1"/>
    </xf>
    <xf numFmtId="10" fontId="41" fillId="2" borderId="1" xfId="2" applyNumberFormat="1" applyFont="1" applyFill="1" applyBorder="1" applyAlignment="1">
      <alignment horizontal="center" vertical="center" wrapText="1"/>
    </xf>
    <xf numFmtId="0" fontId="22" fillId="9" borderId="2" xfId="0" applyFont="1" applyFill="1" applyBorder="1" applyAlignment="1">
      <alignment horizontal="center" vertical="center" wrapText="1"/>
    </xf>
    <xf numFmtId="0" fontId="4" fillId="37" borderId="0" xfId="0" applyFont="1" applyFill="1" applyAlignment="1">
      <alignment horizontal="center" vertical="center" wrapText="1"/>
    </xf>
    <xf numFmtId="167" fontId="9" fillId="30" borderId="2" xfId="0" applyNumberFormat="1" applyFont="1" applyFill="1" applyBorder="1" applyAlignment="1">
      <alignment horizontal="center" vertical="center" wrapText="1"/>
    </xf>
    <xf numFmtId="0" fontId="9" fillId="30" borderId="2" xfId="0" applyFont="1" applyFill="1" applyBorder="1" applyAlignment="1">
      <alignment horizontal="center" vertical="center" wrapText="1"/>
    </xf>
    <xf numFmtId="0" fontId="40" fillId="6" borderId="2" xfId="0" applyFont="1" applyFill="1" applyBorder="1" applyAlignment="1">
      <alignment horizontal="center" vertical="center" wrapText="1"/>
    </xf>
    <xf numFmtId="0" fontId="40" fillId="4" borderId="2" xfId="0" applyFont="1" applyFill="1" applyBorder="1" applyAlignment="1">
      <alignment horizontal="center" vertical="center" wrapText="1"/>
    </xf>
    <xf numFmtId="2" fontId="3" fillId="8" borderId="2" xfId="0" applyNumberFormat="1" applyFont="1" applyFill="1" applyBorder="1" applyAlignment="1">
      <alignment horizontal="center" vertical="center"/>
    </xf>
    <xf numFmtId="2" fontId="3" fillId="8" borderId="3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43" fontId="1" fillId="23" borderId="2" xfId="1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39" fillId="3" borderId="2" xfId="0" applyFont="1" applyFill="1" applyBorder="1" applyAlignment="1">
      <alignment horizontal="center" vertical="center" wrapText="1"/>
    </xf>
    <xf numFmtId="0" fontId="39" fillId="12" borderId="2" xfId="0" applyFont="1" applyFill="1" applyBorder="1" applyAlignment="1">
      <alignment horizontal="center" vertical="center" wrapText="1"/>
    </xf>
    <xf numFmtId="0" fontId="9" fillId="45" borderId="2" xfId="0" applyFont="1" applyFill="1" applyBorder="1" applyAlignment="1">
      <alignment horizontal="center" vertical="center" wrapText="1"/>
    </xf>
    <xf numFmtId="0" fontId="42" fillId="45" borderId="2" xfId="0" applyFont="1" applyFill="1" applyBorder="1" applyAlignment="1">
      <alignment horizontal="center" vertical="center" wrapText="1"/>
    </xf>
    <xf numFmtId="0" fontId="34" fillId="45" borderId="2" xfId="0" applyFont="1" applyFill="1" applyBorder="1" applyAlignment="1">
      <alignment horizontal="center" vertical="center" wrapText="1"/>
    </xf>
    <xf numFmtId="168" fontId="3" fillId="4" borderId="2" xfId="0" applyNumberFormat="1" applyFont="1" applyFill="1" applyBorder="1" applyAlignment="1">
      <alignment horizontal="center" vertical="center"/>
    </xf>
    <xf numFmtId="1" fontId="3" fillId="4" borderId="2" xfId="0" applyNumberFormat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164" fontId="18" fillId="4" borderId="3" xfId="0" applyNumberFormat="1" applyFont="1" applyFill="1" applyBorder="1" applyAlignment="1">
      <alignment horizontal="center" vertical="center" wrapText="1"/>
    </xf>
    <xf numFmtId="2" fontId="18" fillId="4" borderId="3" xfId="0" applyNumberFormat="1" applyFont="1" applyFill="1" applyBorder="1" applyAlignment="1">
      <alignment horizontal="center" vertical="center" wrapText="1"/>
    </xf>
    <xf numFmtId="1" fontId="18" fillId="4" borderId="3" xfId="0" applyNumberFormat="1" applyFont="1" applyFill="1" applyBorder="1" applyAlignment="1">
      <alignment horizontal="center" vertical="center" wrapText="1"/>
    </xf>
    <xf numFmtId="10" fontId="28" fillId="4" borderId="2" xfId="2" applyNumberFormat="1" applyFont="1" applyFill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0" borderId="0" xfId="0" applyFont="1"/>
    <xf numFmtId="1" fontId="35" fillId="4" borderId="3" xfId="0" applyNumberFormat="1" applyFont="1" applyFill="1" applyBorder="1" applyAlignment="1">
      <alignment horizontal="center" vertical="center" wrapText="1"/>
    </xf>
    <xf numFmtId="9" fontId="35" fillId="4" borderId="3" xfId="2" applyFont="1" applyFill="1" applyBorder="1" applyAlignment="1">
      <alignment horizontal="center" vertical="center" wrapText="1"/>
    </xf>
    <xf numFmtId="9" fontId="35" fillId="2" borderId="3" xfId="2" applyFont="1" applyFill="1" applyBorder="1" applyAlignment="1">
      <alignment horizontal="center" vertical="center" wrapText="1"/>
    </xf>
    <xf numFmtId="2" fontId="18" fillId="2" borderId="2" xfId="2" applyNumberFormat="1" applyFont="1" applyFill="1" applyBorder="1" applyAlignment="1">
      <alignment horizontal="center" vertical="center" wrapText="1"/>
    </xf>
    <xf numFmtId="0" fontId="34" fillId="28" borderId="2" xfId="0" applyFont="1" applyFill="1" applyBorder="1" applyAlignment="1">
      <alignment horizontal="center" vertical="center" wrapText="1"/>
    </xf>
    <xf numFmtId="0" fontId="1" fillId="23" borderId="2" xfId="0" applyFont="1" applyFill="1" applyBorder="1" applyAlignment="1">
      <alignment horizontal="center" vertical="center" wrapText="1"/>
    </xf>
    <xf numFmtId="1" fontId="35" fillId="2" borderId="1" xfId="0" applyNumberFormat="1" applyFont="1" applyFill="1" applyBorder="1" applyAlignment="1">
      <alignment horizontal="center" vertical="center" wrapText="1"/>
    </xf>
    <xf numFmtId="9" fontId="35" fillId="2" borderId="1" xfId="2" applyFont="1" applyFill="1" applyBorder="1" applyAlignment="1">
      <alignment horizontal="center" vertical="center" wrapText="1"/>
    </xf>
    <xf numFmtId="2" fontId="0" fillId="4" borderId="2" xfId="2" applyNumberFormat="1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 wrapText="1"/>
    </xf>
    <xf numFmtId="14" fontId="0" fillId="2" borderId="3" xfId="0" applyNumberForma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167" fontId="19" fillId="4" borderId="2" xfId="0" applyNumberFormat="1" applyFont="1" applyFill="1" applyBorder="1" applyAlignment="1">
      <alignment horizontal="center" vertical="center"/>
    </xf>
    <xf numFmtId="0" fontId="44" fillId="6" borderId="2" xfId="0" applyFont="1" applyFill="1" applyBorder="1" applyAlignment="1">
      <alignment horizontal="center" vertical="center" wrapText="1"/>
    </xf>
    <xf numFmtId="0" fontId="44" fillId="6" borderId="4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23" fillId="4" borderId="1" xfId="0" applyNumberFormat="1" applyFont="1" applyFill="1" applyBorder="1" applyAlignment="1">
      <alignment horizontal="center" vertical="center" wrapText="1"/>
    </xf>
    <xf numFmtId="1" fontId="18" fillId="4" borderId="1" xfId="0" applyNumberFormat="1" applyFont="1" applyFill="1" applyBorder="1" applyAlignment="1">
      <alignment horizontal="center" vertical="center" wrapText="1"/>
    </xf>
    <xf numFmtId="168" fontId="45" fillId="21" borderId="8" xfId="0" applyNumberFormat="1" applyFont="1" applyFill="1" applyBorder="1" applyAlignment="1">
      <alignment horizontal="center" vertical="center" wrapText="1"/>
    </xf>
    <xf numFmtId="169" fontId="45" fillId="21" borderId="8" xfId="0" applyNumberFormat="1" applyFont="1" applyFill="1" applyBorder="1" applyAlignment="1">
      <alignment horizontal="center" vertical="center" wrapText="1"/>
    </xf>
    <xf numFmtId="1" fontId="0" fillId="4" borderId="2" xfId="2" applyNumberFormat="1" applyFont="1" applyFill="1" applyBorder="1" applyAlignment="1">
      <alignment horizontal="center" vertical="center"/>
    </xf>
    <xf numFmtId="2" fontId="18" fillId="2" borderId="3" xfId="2" applyNumberFormat="1" applyFont="1" applyFill="1" applyBorder="1" applyAlignment="1">
      <alignment horizontal="center" vertical="center" wrapText="1"/>
    </xf>
    <xf numFmtId="1" fontId="18" fillId="2" borderId="3" xfId="2" applyNumberFormat="1" applyFont="1" applyFill="1" applyBorder="1" applyAlignment="1">
      <alignment horizontal="center" vertical="center" wrapText="1"/>
    </xf>
    <xf numFmtId="43" fontId="40" fillId="46" borderId="2" xfId="1" applyFont="1" applyFill="1" applyBorder="1" applyAlignment="1">
      <alignment horizontal="center" vertical="center" wrapText="1"/>
    </xf>
    <xf numFmtId="0" fontId="29" fillId="26" borderId="2" xfId="0" applyFont="1" applyFill="1" applyBorder="1" applyAlignment="1">
      <alignment horizontal="center" vertical="center" wrapText="1"/>
    </xf>
    <xf numFmtId="0" fontId="47" fillId="10" borderId="2" xfId="0" applyFont="1" applyFill="1" applyBorder="1" applyAlignment="1">
      <alignment horizontal="center" vertical="center" wrapText="1"/>
    </xf>
    <xf numFmtId="0" fontId="17" fillId="47" borderId="2" xfId="0" applyFont="1" applyFill="1" applyBorder="1" applyAlignment="1">
      <alignment horizontal="center" vertical="center" wrapText="1"/>
    </xf>
    <xf numFmtId="0" fontId="9" fillId="28" borderId="2" xfId="0" applyFont="1" applyFill="1" applyBorder="1" applyAlignment="1">
      <alignment horizontal="center" vertical="center" wrapText="1"/>
    </xf>
    <xf numFmtId="0" fontId="10" fillId="28" borderId="2" xfId="0" applyFont="1" applyFill="1" applyBorder="1" applyAlignment="1">
      <alignment horizontal="center" vertical="center" wrapText="1"/>
    </xf>
    <xf numFmtId="0" fontId="22" fillId="15" borderId="4" xfId="0" applyFont="1" applyFill="1" applyBorder="1" applyAlignment="1">
      <alignment horizontal="center" vertical="center" wrapText="1"/>
    </xf>
    <xf numFmtId="0" fontId="22" fillId="48" borderId="4" xfId="0" applyFont="1" applyFill="1" applyBorder="1" applyAlignment="1">
      <alignment horizontal="center" vertical="center" wrapText="1"/>
    </xf>
    <xf numFmtId="1" fontId="23" fillId="2" borderId="1" xfId="0" applyNumberFormat="1" applyFont="1" applyFill="1" applyBorder="1" applyAlignment="1">
      <alignment horizontal="center" vertical="center" wrapText="1"/>
    </xf>
    <xf numFmtId="2" fontId="23" fillId="2" borderId="1" xfId="0" applyNumberFormat="1" applyFont="1" applyFill="1" applyBorder="1" applyAlignment="1">
      <alignment horizontal="center" vertical="center" wrapText="1"/>
    </xf>
    <xf numFmtId="0" fontId="52" fillId="26" borderId="2" xfId="0" applyFont="1" applyFill="1" applyBorder="1" applyAlignment="1">
      <alignment horizontal="center" vertical="center" wrapText="1"/>
    </xf>
    <xf numFmtId="1" fontId="23" fillId="2" borderId="3" xfId="0" applyNumberFormat="1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/>
    </xf>
    <xf numFmtId="0" fontId="55" fillId="0" borderId="0" xfId="0" applyFont="1"/>
    <xf numFmtId="0" fontId="0" fillId="49" borderId="0" xfId="0" applyFill="1"/>
    <xf numFmtId="2" fontId="5" fillId="33" borderId="2" xfId="0" applyNumberFormat="1" applyFont="1" applyFill="1" applyBorder="1" applyAlignment="1">
      <alignment horizontal="center" vertical="center"/>
    </xf>
    <xf numFmtId="0" fontId="56" fillId="14" borderId="2" xfId="0" applyFont="1" applyFill="1" applyBorder="1" applyAlignment="1">
      <alignment horizontal="center" vertical="center" wrapText="1"/>
    </xf>
    <xf numFmtId="2" fontId="5" fillId="24" borderId="2" xfId="0" applyNumberFormat="1" applyFont="1" applyFill="1" applyBorder="1" applyAlignment="1">
      <alignment horizontal="center" vertical="center"/>
    </xf>
    <xf numFmtId="0" fontId="57" fillId="15" borderId="2" xfId="0" applyFont="1" applyFill="1" applyBorder="1" applyAlignment="1">
      <alignment horizontal="center" vertical="center"/>
    </xf>
    <xf numFmtId="164" fontId="5" fillId="33" borderId="2" xfId="0" applyNumberFormat="1" applyFont="1" applyFill="1" applyBorder="1" applyAlignment="1">
      <alignment horizontal="center" vertical="center"/>
    </xf>
    <xf numFmtId="0" fontId="56" fillId="6" borderId="2" xfId="0" applyFont="1" applyFill="1" applyBorder="1" applyAlignment="1">
      <alignment horizontal="center" vertical="center"/>
    </xf>
    <xf numFmtId="0" fontId="56" fillId="19" borderId="2" xfId="0" applyFont="1" applyFill="1" applyBorder="1" applyAlignment="1">
      <alignment horizontal="center" vertical="center"/>
    </xf>
    <xf numFmtId="0" fontId="0" fillId="21" borderId="0" xfId="0" applyFill="1"/>
    <xf numFmtId="1" fontId="5" fillId="33" borderId="2" xfId="0" applyNumberFormat="1" applyFont="1" applyFill="1" applyBorder="1" applyAlignment="1">
      <alignment horizontal="center" vertical="center"/>
    </xf>
    <xf numFmtId="10" fontId="5" fillId="24" borderId="2" xfId="2" applyNumberFormat="1" applyFont="1" applyFill="1" applyBorder="1" applyAlignment="1">
      <alignment horizontal="center" vertical="center"/>
    </xf>
    <xf numFmtId="0" fontId="58" fillId="11" borderId="2" xfId="0" applyFont="1" applyFill="1" applyBorder="1" applyAlignment="1">
      <alignment horizontal="center" vertical="center"/>
    </xf>
    <xf numFmtId="164" fontId="5" fillId="29" borderId="2" xfId="0" applyNumberFormat="1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center"/>
    </xf>
    <xf numFmtId="164" fontId="5" fillId="24" borderId="2" xfId="0" applyNumberFormat="1" applyFont="1" applyFill="1" applyBorder="1" applyAlignment="1">
      <alignment horizontal="center" vertical="center"/>
    </xf>
    <xf numFmtId="10" fontId="5" fillId="50" borderId="2" xfId="2" applyNumberFormat="1" applyFont="1" applyFill="1" applyBorder="1" applyAlignment="1">
      <alignment horizontal="center" vertical="center"/>
    </xf>
    <xf numFmtId="10" fontId="5" fillId="8" borderId="2" xfId="2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64" fontId="5" fillId="50" borderId="2" xfId="0" applyNumberFormat="1" applyFont="1" applyFill="1" applyBorder="1" applyAlignment="1">
      <alignment horizontal="center" vertical="center"/>
    </xf>
    <xf numFmtId="0" fontId="59" fillId="6" borderId="2" xfId="0" applyFont="1" applyFill="1" applyBorder="1" applyAlignment="1">
      <alignment horizontal="center" vertical="center" wrapText="1"/>
    </xf>
    <xf numFmtId="164" fontId="5" fillId="30" borderId="2" xfId="0" applyNumberFormat="1" applyFont="1" applyFill="1" applyBorder="1" applyAlignment="1">
      <alignment horizontal="center" vertical="center"/>
    </xf>
    <xf numFmtId="0" fontId="60" fillId="6" borderId="2" xfId="0" applyFont="1" applyFill="1" applyBorder="1" applyAlignment="1">
      <alignment horizontal="center" vertical="center" wrapText="1"/>
    </xf>
    <xf numFmtId="2" fontId="61" fillId="35" borderId="2" xfId="0" applyNumberFormat="1" applyFont="1" applyFill="1" applyBorder="1" applyAlignment="1">
      <alignment horizontal="center" vertical="center"/>
    </xf>
    <xf numFmtId="0" fontId="62" fillId="6" borderId="2" xfId="0" applyFont="1" applyFill="1" applyBorder="1" applyAlignment="1">
      <alignment horizontal="center" vertical="center" wrapText="1"/>
    </xf>
    <xf numFmtId="1" fontId="3" fillId="4" borderId="2" xfId="2" applyNumberFormat="1" applyFont="1" applyFill="1" applyBorder="1" applyAlignment="1">
      <alignment horizontal="center" vertical="center"/>
    </xf>
    <xf numFmtId="164" fontId="3" fillId="4" borderId="2" xfId="2" applyNumberFormat="1" applyFont="1" applyFill="1" applyBorder="1" applyAlignment="1">
      <alignment horizontal="center" vertical="center"/>
    </xf>
    <xf numFmtId="1" fontId="5" fillId="4" borderId="2" xfId="0" applyNumberFormat="1" applyFont="1" applyFill="1" applyBorder="1" applyAlignment="1">
      <alignment horizontal="center" vertical="center"/>
    </xf>
    <xf numFmtId="0" fontId="64" fillId="8" borderId="2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vertical="center"/>
    </xf>
    <xf numFmtId="0" fontId="65" fillId="49" borderId="4" xfId="0" applyFont="1" applyFill="1" applyBorder="1" applyAlignment="1">
      <alignment horizontal="center" vertical="center"/>
    </xf>
    <xf numFmtId="0" fontId="65" fillId="49" borderId="4" xfId="0" applyFont="1" applyFill="1" applyBorder="1" applyAlignment="1">
      <alignment horizontal="center" vertical="center" wrapText="1"/>
    </xf>
    <xf numFmtId="0" fontId="56" fillId="6" borderId="2" xfId="0" applyFont="1" applyFill="1" applyBorder="1" applyAlignment="1">
      <alignment horizontal="center" vertical="center" wrapText="1"/>
    </xf>
    <xf numFmtId="0" fontId="56" fillId="19" borderId="2" xfId="0" applyFont="1" applyFill="1" applyBorder="1" applyAlignment="1">
      <alignment horizontal="center" vertical="center" wrapText="1"/>
    </xf>
    <xf numFmtId="0" fontId="66" fillId="26" borderId="2" xfId="0" applyFont="1" applyFill="1" applyBorder="1" applyAlignment="1">
      <alignment horizontal="center" vertical="center"/>
    </xf>
    <xf numFmtId="0" fontId="67" fillId="15" borderId="2" xfId="0" applyFont="1" applyFill="1" applyBorder="1" applyAlignment="1">
      <alignment horizontal="center" vertical="center" wrapText="1"/>
    </xf>
    <xf numFmtId="0" fontId="19" fillId="5" borderId="2" xfId="0" applyFont="1" applyFill="1" applyBorder="1" applyAlignment="1">
      <alignment horizontal="center" vertical="center" wrapText="1"/>
    </xf>
    <xf numFmtId="0" fontId="68" fillId="15" borderId="2" xfId="0" applyFont="1" applyFill="1" applyBorder="1" applyAlignment="1">
      <alignment horizontal="center" vertical="center"/>
    </xf>
    <xf numFmtId="0" fontId="4" fillId="26" borderId="4" xfId="0" applyFont="1" applyFill="1" applyBorder="1" applyAlignment="1">
      <alignment horizontal="center" vertical="center" wrapText="1"/>
    </xf>
    <xf numFmtId="0" fontId="27" fillId="26" borderId="2" xfId="0" applyFont="1" applyFill="1" applyBorder="1" applyAlignment="1">
      <alignment horizontal="center" vertical="center" wrapText="1"/>
    </xf>
    <xf numFmtId="0" fontId="69" fillId="14" borderId="4" xfId="0" applyFont="1" applyFill="1" applyBorder="1" applyAlignment="1">
      <alignment horizontal="center" vertical="center" wrapText="1"/>
    </xf>
    <xf numFmtId="49" fontId="5" fillId="12" borderId="2" xfId="0" applyNumberFormat="1" applyFont="1" applyFill="1" applyBorder="1" applyAlignment="1">
      <alignment horizontal="center" vertical="center"/>
    </xf>
    <xf numFmtId="0" fontId="56" fillId="9" borderId="2" xfId="0" applyFont="1" applyFill="1" applyBorder="1" applyAlignment="1">
      <alignment horizontal="center" vertical="center" wrapText="1"/>
    </xf>
    <xf numFmtId="0" fontId="0" fillId="49" borderId="0" xfId="0" quotePrefix="1" applyFill="1"/>
    <xf numFmtId="0" fontId="0" fillId="40" borderId="2" xfId="0" quotePrefix="1" applyFill="1" applyBorder="1"/>
    <xf numFmtId="2" fontId="18" fillId="2" borderId="1" xfId="2" applyNumberFormat="1" applyFont="1" applyFill="1" applyBorder="1" applyAlignment="1">
      <alignment horizontal="center" vertical="center" wrapText="1"/>
    </xf>
    <xf numFmtId="1" fontId="18" fillId="2" borderId="1" xfId="2" applyNumberFormat="1" applyFont="1" applyFill="1" applyBorder="1" applyAlignment="1">
      <alignment horizontal="center" vertical="center" wrapText="1"/>
    </xf>
    <xf numFmtId="0" fontId="36" fillId="26" borderId="2" xfId="0" applyFont="1" applyFill="1" applyBorder="1" applyAlignment="1">
      <alignment horizontal="center" vertical="center" wrapText="1"/>
    </xf>
    <xf numFmtId="0" fontId="70" fillId="26" borderId="2" xfId="0" applyFont="1" applyFill="1" applyBorder="1" applyAlignment="1">
      <alignment horizontal="center" vertical="center" wrapText="1"/>
    </xf>
    <xf numFmtId="0" fontId="71" fillId="26" borderId="2" xfId="0" applyFont="1" applyFill="1" applyBorder="1" applyAlignment="1">
      <alignment horizontal="center" vertical="center" wrapText="1"/>
    </xf>
    <xf numFmtId="43" fontId="69" fillId="36" borderId="2" xfId="1" applyFont="1" applyFill="1" applyBorder="1" applyAlignment="1">
      <alignment horizontal="center" vertical="center" wrapText="1"/>
    </xf>
    <xf numFmtId="169" fontId="0" fillId="4" borderId="2" xfId="0" applyNumberFormat="1" applyFill="1" applyBorder="1" applyAlignment="1">
      <alignment horizontal="center" vertical="center"/>
    </xf>
    <xf numFmtId="168" fontId="0" fillId="4" borderId="2" xfId="0" applyNumberFormat="1" applyFill="1" applyBorder="1" applyAlignment="1">
      <alignment horizontal="center" vertical="center"/>
    </xf>
    <xf numFmtId="0" fontId="69" fillId="6" borderId="2" xfId="0" applyFont="1" applyFill="1" applyBorder="1" applyAlignment="1">
      <alignment horizontal="center" vertical="center" wrapText="1"/>
    </xf>
    <xf numFmtId="0" fontId="0" fillId="51" borderId="0" xfId="0" applyFill="1"/>
    <xf numFmtId="0" fontId="1" fillId="52" borderId="2" xfId="0" applyFont="1" applyFill="1" applyBorder="1" applyAlignment="1">
      <alignment horizontal="center" vertical="center" wrapText="1"/>
    </xf>
    <xf numFmtId="2" fontId="35" fillId="2" borderId="1" xfId="0" applyNumberFormat="1" applyFont="1" applyFill="1" applyBorder="1" applyAlignment="1">
      <alignment horizontal="center" vertical="center" wrapText="1"/>
    </xf>
    <xf numFmtId="10" fontId="3" fillId="51" borderId="2" xfId="2" applyNumberFormat="1" applyFont="1" applyFill="1" applyBorder="1" applyAlignment="1">
      <alignment horizontal="center" vertical="center"/>
    </xf>
    <xf numFmtId="1" fontId="72" fillId="26" borderId="2" xfId="0" applyNumberFormat="1" applyFont="1" applyFill="1" applyBorder="1" applyAlignment="1">
      <alignment horizontal="center" vertical="center"/>
    </xf>
    <xf numFmtId="2" fontId="72" fillId="26" borderId="2" xfId="0" applyNumberFormat="1" applyFont="1" applyFill="1" applyBorder="1" applyAlignment="1">
      <alignment horizontal="center" vertical="center"/>
    </xf>
    <xf numFmtId="164" fontId="18" fillId="2" borderId="1" xfId="0" applyNumberFormat="1" applyFont="1" applyFill="1" applyBorder="1" applyAlignment="1">
      <alignment horizontal="center" vertical="center" wrapText="1"/>
    </xf>
    <xf numFmtId="1" fontId="73" fillId="53" borderId="1" xfId="0" applyNumberFormat="1" applyFont="1" applyFill="1" applyBorder="1" applyAlignment="1">
      <alignment horizontal="center" vertical="center" wrapText="1"/>
    </xf>
    <xf numFmtId="2" fontId="73" fillId="53" borderId="1" xfId="0" applyNumberFormat="1" applyFont="1" applyFill="1" applyBorder="1" applyAlignment="1">
      <alignment horizontal="center" vertical="center" wrapText="1"/>
    </xf>
    <xf numFmtId="0" fontId="13" fillId="25" borderId="4" xfId="0" applyFont="1" applyFill="1" applyBorder="1" applyAlignment="1">
      <alignment horizontal="center" vertical="center" wrapText="1"/>
    </xf>
    <xf numFmtId="2" fontId="18" fillId="51" borderId="10" xfId="0" applyNumberFormat="1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left" vertical="center" wrapText="1"/>
    </xf>
    <xf numFmtId="0" fontId="1" fillId="2" borderId="1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2" fillId="54" borderId="1" xfId="0" applyFont="1" applyFill="1" applyBorder="1" applyAlignment="1">
      <alignment vertical="center" wrapText="1"/>
    </xf>
    <xf numFmtId="14" fontId="2" fillId="54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0" fontId="2" fillId="54" borderId="14" xfId="0" applyFont="1" applyFill="1" applyBorder="1" applyAlignment="1">
      <alignment vertical="center" wrapText="1"/>
    </xf>
    <xf numFmtId="0" fontId="2" fillId="54" borderId="15" xfId="0" applyFont="1" applyFill="1" applyBorder="1" applyAlignment="1">
      <alignment vertical="center" wrapText="1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166" fontId="0" fillId="34" borderId="2" xfId="0" applyNumberFormat="1" applyFill="1" applyBorder="1" applyAlignment="1">
      <alignment horizontal="center" vertical="center"/>
    </xf>
    <xf numFmtId="167" fontId="0" fillId="34" borderId="2" xfId="0" applyNumberFormat="1" applyFill="1" applyBorder="1" applyAlignment="1">
      <alignment horizontal="center" vertical="center"/>
    </xf>
    <xf numFmtId="1" fontId="75" fillId="25" borderId="3" xfId="0" applyNumberFormat="1" applyFont="1" applyFill="1" applyBorder="1" applyAlignment="1">
      <alignment horizontal="center" vertical="center" wrapText="1"/>
    </xf>
    <xf numFmtId="2" fontId="75" fillId="25" borderId="3" xfId="0" applyNumberFormat="1" applyFont="1" applyFill="1" applyBorder="1" applyAlignment="1">
      <alignment horizontal="center" vertical="center" wrapText="1"/>
    </xf>
    <xf numFmtId="167" fontId="18" fillId="33" borderId="3" xfId="0" applyNumberFormat="1" applyFont="1" applyFill="1" applyBorder="1" applyAlignment="1">
      <alignment horizontal="center" vertical="center" wrapText="1"/>
    </xf>
    <xf numFmtId="10" fontId="75" fillId="49" borderId="3" xfId="2" applyNumberFormat="1" applyFont="1" applyFill="1" applyBorder="1" applyAlignment="1">
      <alignment horizontal="center" vertical="center" wrapText="1"/>
    </xf>
    <xf numFmtId="1" fontId="75" fillId="49" borderId="3" xfId="0" applyNumberFormat="1" applyFont="1" applyFill="1" applyBorder="1" applyAlignment="1">
      <alignment horizontal="center" vertical="center" wrapText="1"/>
    </xf>
    <xf numFmtId="2" fontId="75" fillId="49" borderId="3" xfId="0" applyNumberFormat="1" applyFont="1" applyFill="1" applyBorder="1" applyAlignment="1">
      <alignment horizontal="center" vertical="center" wrapText="1"/>
    </xf>
    <xf numFmtId="0" fontId="4" fillId="55" borderId="2" xfId="0" applyFont="1" applyFill="1" applyBorder="1" applyAlignment="1">
      <alignment horizontal="center" vertical="center" wrapText="1"/>
    </xf>
    <xf numFmtId="1" fontId="18" fillId="51" borderId="3" xfId="0" applyNumberFormat="1" applyFont="1" applyFill="1" applyBorder="1" applyAlignment="1">
      <alignment horizontal="center" vertical="center" wrapText="1"/>
    </xf>
    <xf numFmtId="2" fontId="18" fillId="51" borderId="3" xfId="0" applyNumberFormat="1" applyFont="1" applyFill="1" applyBorder="1" applyAlignment="1">
      <alignment horizontal="center" vertical="center" wrapText="1"/>
    </xf>
    <xf numFmtId="0" fontId="4" fillId="56" borderId="2" xfId="0" applyFont="1" applyFill="1" applyBorder="1" applyAlignment="1">
      <alignment horizontal="center" vertical="center" wrapText="1"/>
    </xf>
    <xf numFmtId="0" fontId="17" fillId="55" borderId="2" xfId="0" applyFont="1" applyFill="1" applyBorder="1" applyAlignment="1">
      <alignment horizontal="center" vertical="center" wrapText="1"/>
    </xf>
    <xf numFmtId="0" fontId="22" fillId="55" borderId="2" xfId="0" applyFont="1" applyFill="1" applyBorder="1" applyAlignment="1">
      <alignment horizontal="center" vertical="center" wrapText="1"/>
    </xf>
    <xf numFmtId="1" fontId="74" fillId="49" borderId="2" xfId="0" applyNumberFormat="1" applyFont="1" applyFill="1" applyBorder="1" applyAlignment="1">
      <alignment horizontal="center" vertical="center"/>
    </xf>
    <xf numFmtId="2" fontId="74" fillId="49" borderId="2" xfId="0" applyNumberFormat="1" applyFont="1" applyFill="1" applyBorder="1" applyAlignment="1">
      <alignment horizontal="center" vertical="center"/>
    </xf>
    <xf numFmtId="167" fontId="0" fillId="33" borderId="2" xfId="0" applyNumberFormat="1" applyFill="1" applyBorder="1" applyAlignment="1">
      <alignment horizontal="left" vertical="center"/>
    </xf>
    <xf numFmtId="3" fontId="0" fillId="4" borderId="2" xfId="0" applyNumberFormat="1" applyFill="1" applyBorder="1" applyAlignment="1">
      <alignment horizontal="center" vertical="center"/>
    </xf>
    <xf numFmtId="10" fontId="74" fillId="49" borderId="2" xfId="2" applyNumberFormat="1" applyFont="1" applyFill="1" applyBorder="1" applyAlignment="1">
      <alignment horizontal="center" vertical="center"/>
    </xf>
    <xf numFmtId="43" fontId="69" fillId="57" borderId="2" xfId="1" applyFont="1" applyFill="1" applyBorder="1" applyAlignment="1">
      <alignment horizontal="center" vertical="center" wrapText="1"/>
    </xf>
    <xf numFmtId="3" fontId="75" fillId="49" borderId="3" xfId="0" applyNumberFormat="1" applyFont="1" applyFill="1" applyBorder="1" applyAlignment="1">
      <alignment horizontal="center" vertical="center" wrapText="1"/>
    </xf>
    <xf numFmtId="4" fontId="75" fillId="49" borderId="3" xfId="0" applyNumberFormat="1" applyFont="1" applyFill="1" applyBorder="1" applyAlignment="1">
      <alignment horizontal="center" vertical="center" wrapText="1"/>
    </xf>
    <xf numFmtId="0" fontId="14" fillId="49" borderId="2" xfId="0" applyFont="1" applyFill="1" applyBorder="1" applyAlignment="1">
      <alignment horizontal="center" vertical="center" wrapText="1"/>
    </xf>
    <xf numFmtId="2" fontId="45" fillId="21" borderId="8" xfId="0" applyNumberFormat="1" applyFont="1" applyFill="1" applyBorder="1" applyAlignment="1">
      <alignment horizontal="center" vertical="center" wrapText="1"/>
    </xf>
    <xf numFmtId="0" fontId="77" fillId="14" borderId="2" xfId="0" applyFont="1" applyFill="1" applyBorder="1" applyAlignment="1">
      <alignment horizontal="center" vertical="center" wrapText="1"/>
    </xf>
    <xf numFmtId="166" fontId="0" fillId="33" borderId="2" xfId="0" applyNumberFormat="1" applyFill="1" applyBorder="1" applyAlignment="1">
      <alignment horizontal="center" vertical="center"/>
    </xf>
    <xf numFmtId="1" fontId="74" fillId="49" borderId="2" xfId="2" applyNumberFormat="1" applyFont="1" applyFill="1" applyBorder="1" applyAlignment="1">
      <alignment horizontal="center" vertical="center"/>
    </xf>
    <xf numFmtId="167" fontId="0" fillId="33" borderId="2" xfId="0" applyNumberFormat="1" applyFill="1" applyBorder="1" applyAlignment="1">
      <alignment horizontal="center" vertical="center"/>
    </xf>
    <xf numFmtId="2" fontId="74" fillId="49" borderId="2" xfId="2" applyNumberFormat="1" applyFont="1" applyFill="1" applyBorder="1" applyAlignment="1">
      <alignment horizontal="center" vertical="center"/>
    </xf>
    <xf numFmtId="1" fontId="74" fillId="53" borderId="2" xfId="0" applyNumberFormat="1" applyFont="1" applyFill="1" applyBorder="1" applyAlignment="1">
      <alignment horizontal="center" vertical="center"/>
    </xf>
    <xf numFmtId="2" fontId="30" fillId="38" borderId="2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74" fillId="58" borderId="2" xfId="0" applyNumberFormat="1" applyFont="1" applyFill="1" applyBorder="1" applyAlignment="1">
      <alignment horizontal="center" vertical="center"/>
    </xf>
    <xf numFmtId="2" fontId="74" fillId="58" borderId="2" xfId="0" applyNumberFormat="1" applyFont="1" applyFill="1" applyBorder="1" applyAlignment="1">
      <alignment horizontal="center" vertical="center"/>
    </xf>
    <xf numFmtId="0" fontId="14" fillId="58" borderId="2" xfId="0" applyFont="1" applyFill="1" applyBorder="1" applyAlignment="1">
      <alignment horizontal="center" vertical="center" wrapText="1"/>
    </xf>
    <xf numFmtId="10" fontId="0" fillId="0" borderId="0" xfId="2" applyNumberFormat="1" applyFont="1" applyAlignment="1">
      <alignment horizontal="center"/>
    </xf>
    <xf numFmtId="2" fontId="4" fillId="14" borderId="2" xfId="0" applyNumberFormat="1" applyFont="1" applyFill="1" applyBorder="1" applyAlignment="1">
      <alignment horizontal="center" vertical="center" wrapText="1"/>
    </xf>
    <xf numFmtId="10" fontId="24" fillId="59" borderId="2" xfId="2" applyNumberFormat="1" applyFont="1" applyFill="1" applyBorder="1" applyAlignment="1">
      <alignment horizontal="center" vertical="center" wrapText="1"/>
    </xf>
    <xf numFmtId="0" fontId="74" fillId="49" borderId="2" xfId="0" applyFont="1" applyFill="1" applyBorder="1" applyAlignment="1">
      <alignment horizontal="center" vertical="center"/>
    </xf>
    <xf numFmtId="164" fontId="74" fillId="49" borderId="2" xfId="0" applyNumberFormat="1" applyFont="1" applyFill="1" applyBorder="1" applyAlignment="1">
      <alignment horizontal="center" vertical="center"/>
    </xf>
    <xf numFmtId="1" fontId="76" fillId="25" borderId="2" xfId="0" applyNumberFormat="1" applyFont="1" applyFill="1" applyBorder="1" applyAlignment="1">
      <alignment horizontal="center" vertical="center"/>
    </xf>
    <xf numFmtId="2" fontId="76" fillId="25" borderId="2" xfId="0" applyNumberFormat="1" applyFont="1" applyFill="1" applyBorder="1" applyAlignment="1">
      <alignment horizontal="center" vertical="center"/>
    </xf>
    <xf numFmtId="0" fontId="49" fillId="37" borderId="2" xfId="0" applyFont="1" applyFill="1" applyBorder="1" applyAlignment="1">
      <alignment horizontal="center" vertical="center" wrapText="1"/>
    </xf>
    <xf numFmtId="0" fontId="19" fillId="12" borderId="2" xfId="0" applyFont="1" applyFill="1" applyBorder="1" applyAlignment="1">
      <alignment horizontal="center" vertical="center" wrapText="1"/>
    </xf>
    <xf numFmtId="0" fontId="19" fillId="12" borderId="2" xfId="0" applyFont="1" applyFill="1" applyBorder="1" applyAlignment="1">
      <alignment horizontal="center" vertical="center"/>
    </xf>
    <xf numFmtId="0" fontId="4" fillId="60" borderId="2" xfId="0" applyFont="1" applyFill="1" applyBorder="1" applyAlignment="1">
      <alignment horizontal="center" vertical="center" wrapText="1"/>
    </xf>
    <xf numFmtId="165" fontId="75" fillId="49" borderId="3" xfId="2" applyNumberFormat="1" applyFont="1" applyFill="1" applyBorder="1" applyAlignment="1">
      <alignment horizontal="center" vertical="center" wrapText="1"/>
    </xf>
    <xf numFmtId="1" fontId="75" fillId="53" borderId="3" xfId="0" applyNumberFormat="1" applyFont="1" applyFill="1" applyBorder="1" applyAlignment="1">
      <alignment horizontal="center" vertical="center" wrapText="1"/>
    </xf>
    <xf numFmtId="0" fontId="4" fillId="53" borderId="2" xfId="0" applyFont="1" applyFill="1" applyBorder="1" applyAlignment="1">
      <alignment horizontal="center" vertical="center" wrapText="1"/>
    </xf>
    <xf numFmtId="43" fontId="9" fillId="17" borderId="2" xfId="1" applyFont="1" applyFill="1" applyBorder="1" applyAlignment="1">
      <alignment horizontal="center" vertical="center" wrapText="1"/>
    </xf>
    <xf numFmtId="165" fontId="78" fillId="49" borderId="9" xfId="2" applyNumberFormat="1" applyFont="1" applyFill="1" applyBorder="1" applyAlignment="1">
      <alignment horizontal="center" vertical="center" wrapText="1"/>
    </xf>
    <xf numFmtId="43" fontId="79" fillId="0" borderId="0" xfId="1" applyFont="1"/>
    <xf numFmtId="0" fontId="82" fillId="16" borderId="2" xfId="0" applyFont="1" applyFill="1" applyBorder="1" applyAlignment="1">
      <alignment horizontal="center" vertical="center" wrapText="1"/>
    </xf>
    <xf numFmtId="0" fontId="80" fillId="49" borderId="2" xfId="0" applyFont="1" applyFill="1" applyBorder="1" applyAlignment="1">
      <alignment horizontal="center" vertical="center"/>
    </xf>
    <xf numFmtId="1" fontId="80" fillId="49" borderId="2" xfId="0" applyNumberFormat="1" applyFont="1" applyFill="1" applyBorder="1" applyAlignment="1">
      <alignment horizontal="center" vertical="center"/>
    </xf>
    <xf numFmtId="43" fontId="81" fillId="3" borderId="2" xfId="1" applyFont="1" applyFill="1" applyBorder="1" applyAlignment="1">
      <alignment horizontal="center" vertical="center" wrapText="1"/>
    </xf>
    <xf numFmtId="43" fontId="81" fillId="3" borderId="4" xfId="1" applyFont="1" applyFill="1" applyBorder="1" applyAlignment="1">
      <alignment horizontal="center" vertical="center" wrapText="1"/>
    </xf>
    <xf numFmtId="2" fontId="19" fillId="51" borderId="2" xfId="0" applyNumberFormat="1" applyFont="1" applyFill="1" applyBorder="1" applyAlignment="1">
      <alignment horizontal="center" vertical="center"/>
    </xf>
    <xf numFmtId="2" fontId="78" fillId="51" borderId="3" xfId="2" applyNumberFormat="1" applyFont="1" applyFill="1" applyBorder="1" applyAlignment="1">
      <alignment horizontal="center" vertical="center" wrapText="1"/>
    </xf>
    <xf numFmtId="0" fontId="69" fillId="15" borderId="2" xfId="0" applyFont="1" applyFill="1" applyBorder="1" applyAlignment="1">
      <alignment horizontal="center" vertical="center" wrapText="1"/>
    </xf>
    <xf numFmtId="3" fontId="75" fillId="53" borderId="3" xfId="0" applyNumberFormat="1" applyFont="1" applyFill="1" applyBorder="1" applyAlignment="1">
      <alignment horizontal="center" vertical="center" wrapText="1"/>
    </xf>
    <xf numFmtId="4" fontId="75" fillId="53" borderId="3" xfId="0" applyNumberFormat="1" applyFont="1" applyFill="1" applyBorder="1" applyAlignment="1">
      <alignment horizontal="center" vertical="center" wrapText="1"/>
    </xf>
    <xf numFmtId="2" fontId="80" fillId="49" borderId="2" xfId="0" applyNumberFormat="1" applyFont="1" applyFill="1" applyBorder="1" applyAlignment="1">
      <alignment horizontal="center" vertical="center"/>
    </xf>
    <xf numFmtId="0" fontId="83" fillId="5" borderId="2" xfId="0" applyFont="1" applyFill="1" applyBorder="1" applyAlignment="1">
      <alignment horizontal="center" vertical="center" wrapText="1"/>
    </xf>
    <xf numFmtId="1" fontId="75" fillId="37" borderId="1" xfId="0" applyNumberFormat="1" applyFont="1" applyFill="1" applyBorder="1" applyAlignment="1">
      <alignment horizontal="center" vertical="center" wrapText="1"/>
    </xf>
    <xf numFmtId="2" fontId="75" fillId="37" borderId="1" xfId="0" applyNumberFormat="1" applyFont="1" applyFill="1" applyBorder="1" applyAlignment="1">
      <alignment horizontal="center" vertical="center" wrapText="1"/>
    </xf>
    <xf numFmtId="1" fontId="84" fillId="49" borderId="2" xfId="0" applyNumberFormat="1" applyFont="1" applyFill="1" applyBorder="1" applyAlignment="1">
      <alignment horizontal="center" vertical="center"/>
    </xf>
    <xf numFmtId="2" fontId="84" fillId="49" borderId="2" xfId="0" applyNumberFormat="1" applyFont="1" applyFill="1" applyBorder="1" applyAlignment="1">
      <alignment horizontal="center" vertical="center"/>
    </xf>
    <xf numFmtId="0" fontId="82" fillId="61" borderId="4" xfId="0" applyFont="1" applyFill="1" applyBorder="1" applyAlignment="1">
      <alignment horizontal="center" vertical="center" wrapText="1"/>
    </xf>
    <xf numFmtId="0" fontId="9" fillId="52" borderId="4" xfId="0" applyFont="1" applyFill="1" applyBorder="1" applyAlignment="1">
      <alignment horizontal="center" vertical="center" wrapText="1"/>
    </xf>
    <xf numFmtId="14" fontId="0" fillId="51" borderId="2" xfId="0" applyNumberFormat="1" applyFill="1" applyBorder="1" applyAlignment="1">
      <alignment horizontal="center" vertical="center"/>
    </xf>
    <xf numFmtId="43" fontId="82" fillId="15" borderId="2" xfId="1" applyFont="1" applyFill="1" applyBorder="1" applyAlignment="1">
      <alignment horizontal="center" vertical="center" wrapText="1"/>
    </xf>
    <xf numFmtId="3" fontId="73" fillId="62" borderId="3" xfId="0" applyNumberFormat="1" applyFont="1" applyFill="1" applyBorder="1" applyAlignment="1">
      <alignment horizontal="center" vertical="center" wrapText="1"/>
    </xf>
    <xf numFmtId="4" fontId="73" fillId="62" borderId="3" xfId="0" applyNumberFormat="1" applyFont="1" applyFill="1" applyBorder="1" applyAlignment="1">
      <alignment horizontal="center" vertical="center" wrapText="1"/>
    </xf>
    <xf numFmtId="43" fontId="16" fillId="15" borderId="4" xfId="1" applyFont="1" applyFill="1" applyBorder="1" applyAlignment="1">
      <alignment horizontal="center" vertical="center" wrapText="1"/>
    </xf>
    <xf numFmtId="43" fontId="16" fillId="15" borderId="2" xfId="1" applyFont="1" applyFill="1" applyBorder="1" applyAlignment="1">
      <alignment horizontal="center" vertical="center" wrapText="1"/>
    </xf>
    <xf numFmtId="0" fontId="3" fillId="63" borderId="2" xfId="0" applyFont="1" applyFill="1" applyBorder="1" applyAlignment="1">
      <alignment horizontal="left" vertical="center"/>
    </xf>
    <xf numFmtId="1" fontId="19" fillId="51" borderId="2" xfId="0" applyNumberFormat="1" applyFont="1" applyFill="1" applyBorder="1" applyAlignment="1">
      <alignment horizontal="center" vertical="center"/>
    </xf>
    <xf numFmtId="10" fontId="19" fillId="51" borderId="2" xfId="2" applyNumberFormat="1" applyFont="1" applyFill="1" applyBorder="1" applyAlignment="1">
      <alignment horizontal="center" vertical="center"/>
    </xf>
    <xf numFmtId="0" fontId="85" fillId="25" borderId="2" xfId="0" applyFont="1" applyFill="1" applyBorder="1" applyAlignment="1">
      <alignment horizontal="center" vertical="center" wrapText="1"/>
    </xf>
    <xf numFmtId="0" fontId="13" fillId="25" borderId="2" xfId="0" applyFont="1" applyFill="1" applyBorder="1" applyAlignment="1">
      <alignment horizontal="center" vertical="center" wrapText="1"/>
    </xf>
    <xf numFmtId="0" fontId="40" fillId="25" borderId="2" xfId="0" applyFont="1" applyFill="1" applyBorder="1" applyAlignment="1">
      <alignment horizontal="center" vertical="center" wrapText="1"/>
    </xf>
    <xf numFmtId="0" fontId="86" fillId="25" borderId="2" xfId="0" applyFont="1" applyFill="1" applyBorder="1" applyAlignment="1">
      <alignment horizontal="center" vertical="center" wrapText="1"/>
    </xf>
    <xf numFmtId="0" fontId="87" fillId="25" borderId="2" xfId="0" applyFont="1" applyFill="1" applyBorder="1" applyAlignment="1">
      <alignment horizontal="center" vertical="center" wrapText="1"/>
    </xf>
    <xf numFmtId="1" fontId="80" fillId="25" borderId="2" xfId="0" applyNumberFormat="1" applyFont="1" applyFill="1" applyBorder="1" applyAlignment="1">
      <alignment horizontal="center" vertical="center"/>
    </xf>
    <xf numFmtId="2" fontId="80" fillId="25" borderId="2" xfId="0" applyNumberFormat="1" applyFont="1" applyFill="1" applyBorder="1" applyAlignment="1">
      <alignment horizontal="center" vertical="center"/>
    </xf>
    <xf numFmtId="0" fontId="47" fillId="64" borderId="4" xfId="0" applyFont="1" applyFill="1" applyBorder="1" applyAlignment="1">
      <alignment horizontal="center" vertical="center" wrapText="1"/>
    </xf>
    <xf numFmtId="0" fontId="88" fillId="64" borderId="4" xfId="0" applyFont="1" applyFill="1" applyBorder="1" applyAlignment="1">
      <alignment horizontal="center" vertical="center" wrapText="1"/>
    </xf>
    <xf numFmtId="4" fontId="75" fillId="25" borderId="3" xfId="0" applyNumberFormat="1" applyFont="1" applyFill="1" applyBorder="1" applyAlignment="1">
      <alignment horizontal="center" vertical="center" wrapText="1"/>
    </xf>
    <xf numFmtId="43" fontId="69" fillId="64" borderId="2" xfId="1" applyFont="1" applyFill="1" applyBorder="1" applyAlignment="1">
      <alignment horizontal="center" vertical="center" wrapText="1"/>
    </xf>
    <xf numFmtId="10" fontId="89" fillId="51" borderId="2" xfId="2" applyNumberFormat="1" applyFont="1" applyFill="1" applyBorder="1" applyAlignment="1">
      <alignment horizontal="center" vertical="center"/>
    </xf>
    <xf numFmtId="0" fontId="90" fillId="10" borderId="2" xfId="0" applyFont="1" applyFill="1" applyBorder="1" applyAlignment="1">
      <alignment horizontal="center" vertical="center" wrapText="1"/>
    </xf>
    <xf numFmtId="170" fontId="2" fillId="0" borderId="1" xfId="0" applyNumberFormat="1" applyFont="1" applyBorder="1" applyAlignment="1">
      <alignment vertical="center" wrapText="1"/>
    </xf>
    <xf numFmtId="170" fontId="2" fillId="54" borderId="1" xfId="0" applyNumberFormat="1" applyFont="1" applyFill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17" xfId="0" applyFont="1" applyBorder="1" applyAlignment="1">
      <alignment vertical="center" wrapText="1"/>
    </xf>
    <xf numFmtId="14" fontId="2" fillId="0" borderId="17" xfId="0" applyNumberFormat="1" applyFont="1" applyBorder="1" applyAlignment="1">
      <alignment vertical="center" wrapText="1"/>
    </xf>
    <xf numFmtId="0" fontId="2" fillId="0" borderId="18" xfId="0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2" fillId="54" borderId="0" xfId="0" applyFont="1" applyFill="1" applyBorder="1" applyAlignment="1">
      <alignment vertical="center" wrapText="1"/>
    </xf>
    <xf numFmtId="0" fontId="2" fillId="0" borderId="0" xfId="0" applyFont="1" applyBorder="1" applyAlignment="1">
      <alignment vertical="center" wrapText="1"/>
    </xf>
    <xf numFmtId="0" fontId="0" fillId="0" borderId="15" xfId="0" applyBorder="1" applyAlignment="1">
      <alignment horizontal="center"/>
    </xf>
    <xf numFmtId="2" fontId="0" fillId="51" borderId="2" xfId="0" applyNumberFormat="1" applyFont="1" applyFill="1" applyBorder="1" applyAlignment="1">
      <alignment horizontal="center" vertical="center"/>
    </xf>
    <xf numFmtId="0" fontId="63" fillId="49" borderId="4" xfId="0" applyFont="1" applyFill="1" applyBorder="1" applyAlignment="1">
      <alignment horizontal="center" vertical="center" wrapText="1"/>
    </xf>
    <xf numFmtId="0" fontId="63" fillId="49" borderId="5" xfId="0" applyFont="1" applyFill="1" applyBorder="1" applyAlignment="1">
      <alignment horizontal="center" vertical="center" wrapText="1"/>
    </xf>
    <xf numFmtId="0" fontId="14" fillId="49" borderId="4" xfId="0" applyFont="1" applyFill="1" applyBorder="1" applyAlignment="1">
      <alignment horizontal="center" vertical="center" wrapText="1"/>
    </xf>
    <xf numFmtId="168" fontId="23" fillId="21" borderId="19" xfId="0" applyNumberFormat="1" applyFont="1" applyFill="1" applyBorder="1" applyAlignment="1">
      <alignment horizontal="center" vertical="center" wrapText="1"/>
    </xf>
    <xf numFmtId="10" fontId="23" fillId="51" borderId="19" xfId="2" applyNumberFormat="1" applyFont="1" applyFill="1" applyBorder="1" applyAlignment="1">
      <alignment horizontal="center"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9">
    <dxf>
      <font>
        <b/>
        <i val="0"/>
        <color theme="0" tint="0.79998168889431442"/>
      </font>
      <fill>
        <patternFill>
          <bgColor rgb="FFC00000"/>
        </patternFill>
      </fill>
    </dxf>
    <dxf>
      <font>
        <b/>
        <i val="0"/>
        <color theme="0" tint="0.79998168889431442"/>
      </font>
      <fill>
        <patternFill patternType="darkGray">
          <fgColor theme="8" tint="-0.24994659260841701"/>
          <bgColor rgb="FF002060"/>
        </patternFill>
      </fill>
    </dxf>
    <dxf>
      <font>
        <b/>
        <i val="0"/>
        <color theme="0" tint="0.79998168889431442"/>
      </font>
      <fill>
        <patternFill patternType="darkGray">
          <fgColor rgb="FF305496"/>
          <bgColor rgb="FF00206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24994659260841701"/>
          <bgColor theme="1" tint="4.9989318521683403E-2"/>
        </patternFill>
      </fill>
    </dxf>
    <dxf>
      <font>
        <b/>
        <i val="0"/>
        <color theme="0" tint="0.79998168889431442"/>
      </font>
      <fill>
        <patternFill patternType="darkGray">
          <fgColor theme="8" tint="-0.24994659260841701"/>
          <bgColor rgb="FF002060"/>
        </patternFill>
      </fill>
    </dxf>
    <dxf>
      <font>
        <b/>
        <i val="0"/>
        <color theme="0" tint="0.79995117038483843"/>
      </font>
      <fill>
        <patternFill patternType="darkGray">
          <fgColor rgb="FF305496"/>
          <bgColor rgb="FF00206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000000"/>
        </patternFill>
      </fill>
    </dxf>
    <dxf>
      <font>
        <b val="0"/>
        <i val="0"/>
        <color theme="0" tint="0.79998168889431442"/>
      </font>
      <fill>
        <patternFill patternType="darkGray">
          <fgColor theme="3" tint="-0.499984740745262"/>
          <bgColor rgb="FF161616"/>
        </patternFill>
      </fill>
    </dxf>
  </dxfs>
  <tableStyles count="0" defaultTableStyle="TableStyleMedium2" defaultPivotStyle="PivotStyleLight16"/>
  <colors>
    <mruColors>
      <color rgb="FFC00000"/>
      <color rgb="FFFEE2E3"/>
      <color rgb="FFFBABAD"/>
      <color rgb="FF0060A8"/>
      <color rgb="FF004F8A"/>
      <color rgb="FFFFC85B"/>
      <color rgb="FFD28C00"/>
      <color rgb="FFFDD7D8"/>
      <color rgb="FFF8696B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127</xdr:col>
      <xdr:colOff>105833</xdr:colOff>
      <xdr:row>0</xdr:row>
      <xdr:rowOff>21166</xdr:rowOff>
    </xdr:from>
    <xdr:to>
      <xdr:col>128</xdr:col>
      <xdr:colOff>582084</xdr:colOff>
      <xdr:row>0</xdr:row>
      <xdr:rowOff>592666</xdr:rowOff>
    </xdr:to>
    <xdr:sp macro="[0]!Goleiro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2531433" y="21166"/>
          <a:ext cx="1085851" cy="1714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2" name="Elips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3" name="Elips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5" name="Elips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6" name="E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42334</xdr:colOff>
      <xdr:row>0</xdr:row>
      <xdr:rowOff>95250</xdr:rowOff>
    </xdr:from>
    <xdr:to>
      <xdr:col>0</xdr:col>
      <xdr:colOff>560918</xdr:colOff>
      <xdr:row>0</xdr:row>
      <xdr:rowOff>518584</xdr:rowOff>
    </xdr:to>
    <xdr:sp macro="[0]!Ajuste_Linhas" textlink="">
      <xdr:nvSpPr>
        <xdr:cNvPr id="17" name="Elips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2334" y="95250"/>
          <a:ext cx="518584" cy="9948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18" name="Elips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187</xdr:col>
      <xdr:colOff>116417</xdr:colOff>
      <xdr:row>0</xdr:row>
      <xdr:rowOff>31750</xdr:rowOff>
    </xdr:from>
    <xdr:to>
      <xdr:col>188</xdr:col>
      <xdr:colOff>592668</xdr:colOff>
      <xdr:row>0</xdr:row>
      <xdr:rowOff>603250</xdr:rowOff>
    </xdr:to>
    <xdr:sp macro="[0]!Zagueiro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6843750" y="31750"/>
          <a:ext cx="1090085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105833</xdr:rowOff>
    </xdr:from>
    <xdr:to>
      <xdr:col>0</xdr:col>
      <xdr:colOff>560917</xdr:colOff>
      <xdr:row>0</xdr:row>
      <xdr:rowOff>529167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2333" y="105833"/>
          <a:ext cx="518584" cy="804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333" y="84666"/>
          <a:ext cx="518584" cy="109009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160</xdr:col>
      <xdr:colOff>96877</xdr:colOff>
      <xdr:row>0</xdr:row>
      <xdr:rowOff>0</xdr:rowOff>
    </xdr:from>
    <xdr:to>
      <xdr:col>161</xdr:col>
      <xdr:colOff>486834</xdr:colOff>
      <xdr:row>1</xdr:row>
      <xdr:rowOff>0</xdr:rowOff>
    </xdr:to>
    <xdr:sp macro="[0]!Laterais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093460" y="0"/>
          <a:ext cx="1437707" cy="624417"/>
        </a:xfrm>
        <a:prstGeom prst="ellipse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4">
                  <a:lumMod val="60000"/>
                  <a:lumOff val="40000"/>
                </a:schemeClr>
              </a:solidFill>
            </a:rPr>
            <a:t>AJUSTES</a:t>
          </a:r>
          <a:endParaRPr lang="pt-BR" sz="1800" b="1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42333</xdr:colOff>
      <xdr:row>0</xdr:row>
      <xdr:rowOff>74084</xdr:rowOff>
    </xdr:from>
    <xdr:to>
      <xdr:col>0</xdr:col>
      <xdr:colOff>560917</xdr:colOff>
      <xdr:row>0</xdr:row>
      <xdr:rowOff>497418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2333" y="7408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156</xdr:col>
      <xdr:colOff>52917</xdr:colOff>
      <xdr:row>0</xdr:row>
      <xdr:rowOff>21166</xdr:rowOff>
    </xdr:from>
    <xdr:to>
      <xdr:col>157</xdr:col>
      <xdr:colOff>529169</xdr:colOff>
      <xdr:row>0</xdr:row>
      <xdr:rowOff>592666</xdr:rowOff>
    </xdr:to>
    <xdr:sp macro="[0]!Volantes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4616250" y="21166"/>
          <a:ext cx="1090086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105833</xdr:rowOff>
    </xdr:from>
    <xdr:to>
      <xdr:col>0</xdr:col>
      <xdr:colOff>560917</xdr:colOff>
      <xdr:row>0</xdr:row>
      <xdr:rowOff>529167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333" y="105833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172</xdr:col>
      <xdr:colOff>116415</xdr:colOff>
      <xdr:row>0</xdr:row>
      <xdr:rowOff>21167</xdr:rowOff>
    </xdr:from>
    <xdr:to>
      <xdr:col>173</xdr:col>
      <xdr:colOff>592667</xdr:colOff>
      <xdr:row>0</xdr:row>
      <xdr:rowOff>592667</xdr:rowOff>
    </xdr:to>
    <xdr:sp macro="[0]!BoxBox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422582" y="21167"/>
          <a:ext cx="1090085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52917</xdr:colOff>
      <xdr:row>0</xdr:row>
      <xdr:rowOff>95250</xdr:rowOff>
    </xdr:from>
    <xdr:to>
      <xdr:col>0</xdr:col>
      <xdr:colOff>571501</xdr:colOff>
      <xdr:row>0</xdr:row>
      <xdr:rowOff>518584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2917" y="95250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155</xdr:col>
      <xdr:colOff>95251</xdr:colOff>
      <xdr:row>0</xdr:row>
      <xdr:rowOff>21166</xdr:rowOff>
    </xdr:from>
    <xdr:to>
      <xdr:col>156</xdr:col>
      <xdr:colOff>571502</xdr:colOff>
      <xdr:row>0</xdr:row>
      <xdr:rowOff>592666</xdr:rowOff>
    </xdr:to>
    <xdr:sp macro="[0]!Armadores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15411251" y="21166"/>
          <a:ext cx="1090084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42334</xdr:colOff>
      <xdr:row>0</xdr:row>
      <xdr:rowOff>105834</xdr:rowOff>
    </xdr:from>
    <xdr:to>
      <xdr:col>0</xdr:col>
      <xdr:colOff>560918</xdr:colOff>
      <xdr:row>0</xdr:row>
      <xdr:rowOff>529168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2334" y="10583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116417</xdr:colOff>
      <xdr:row>0</xdr:row>
      <xdr:rowOff>31750</xdr:rowOff>
    </xdr:from>
    <xdr:to>
      <xdr:col>193</xdr:col>
      <xdr:colOff>592667</xdr:colOff>
      <xdr:row>0</xdr:row>
      <xdr:rowOff>603250</xdr:rowOff>
    </xdr:to>
    <xdr:sp macro="[0]!Avançado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7910167" y="31750"/>
          <a:ext cx="1090083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52916</xdr:colOff>
      <xdr:row>0</xdr:row>
      <xdr:rowOff>95250</xdr:rowOff>
    </xdr:from>
    <xdr:to>
      <xdr:col>0</xdr:col>
      <xdr:colOff>571500</xdr:colOff>
      <xdr:row>0</xdr:row>
      <xdr:rowOff>518584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2916" y="95250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179295</xdr:colOff>
      <xdr:row>15</xdr:row>
      <xdr:rowOff>42334</xdr:rowOff>
    </xdr:from>
    <xdr:to>
      <xdr:col>5</xdr:col>
      <xdr:colOff>750795</xdr:colOff>
      <xdr:row>17</xdr:row>
      <xdr:rowOff>101475</xdr:rowOff>
    </xdr:to>
    <xdr:sp macro="[0]!Ajustes_TEstatisticas" textlink="">
      <xdr:nvSpPr>
        <xdr:cNvPr id="2" name="Retângulo 1">
          <a:extLst>
            <a:ext uri="{FF2B5EF4-FFF2-40B4-BE49-F238E27FC236}">
              <a16:creationId xmlns:a16="http://schemas.microsoft.com/office/drawing/2014/main" id="{942080D7-8FAC-4EAA-98A7-9E711560BCD1}"/>
            </a:ext>
          </a:extLst>
        </xdr:cNvPr>
        <xdr:cNvSpPr/>
      </xdr:nvSpPr>
      <xdr:spPr>
        <a:xfrm>
          <a:off x="4624295" y="5799667"/>
          <a:ext cx="1481667" cy="77880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FF00"/>
              </a:solidFill>
            </a:rPr>
            <a:t>AJUSTES</a:t>
          </a:r>
          <a:endParaRPr lang="pt-B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444500</xdr:colOff>
      <xdr:row>17</xdr:row>
      <xdr:rowOff>201083</xdr:rowOff>
    </xdr:from>
    <xdr:to>
      <xdr:col>5</xdr:col>
      <xdr:colOff>645583</xdr:colOff>
      <xdr:row>18</xdr:row>
      <xdr:rowOff>264583</xdr:rowOff>
    </xdr:to>
    <xdr:sp macro="[0]!Limpa_TEstatisticas" textlink="">
      <xdr:nvSpPr>
        <xdr:cNvPr id="3" name="Retângulo com Único Canto Aparado 2">
          <a:extLst>
            <a:ext uri="{FF2B5EF4-FFF2-40B4-BE49-F238E27FC236}">
              <a16:creationId xmlns:a16="http://schemas.microsoft.com/office/drawing/2014/main" id="{B9180CA0-4595-4B38-8D63-4572B83AA66D}"/>
            </a:ext>
          </a:extLst>
        </xdr:cNvPr>
        <xdr:cNvSpPr/>
      </xdr:nvSpPr>
      <xdr:spPr>
        <a:xfrm>
          <a:off x="2882900" y="3430058"/>
          <a:ext cx="772583" cy="187325"/>
        </a:xfrm>
        <a:prstGeom prst="snip1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chemeClr val="bg1">
                  <a:lumMod val="20000"/>
                  <a:lumOff val="80000"/>
                </a:schemeClr>
              </a:solidFill>
            </a:rPr>
            <a:t>L</a:t>
          </a:r>
          <a:r>
            <a:rPr lang="pt-BR" sz="1400" b="1" baseline="0">
              <a:solidFill>
                <a:schemeClr val="bg1">
                  <a:lumMod val="20000"/>
                  <a:lumOff val="80000"/>
                </a:schemeClr>
              </a:solidFill>
            </a:rPr>
            <a:t> I M P A R</a:t>
          </a:r>
          <a:endParaRPr lang="pt-BR" sz="1400" b="1">
            <a:solidFill>
              <a:schemeClr val="bg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arLinhas25" textlink="">
      <xdr:nvSpPr>
        <xdr:cNvPr id="2" name="Elipse 1">
          <a:extLst>
            <a:ext uri="{FF2B5EF4-FFF2-40B4-BE49-F238E27FC236}">
              <a16:creationId xmlns:a16="http://schemas.microsoft.com/office/drawing/2014/main" id="{E659478E-1D0D-4D54-B960-6360A813F0E1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42334</xdr:colOff>
      <xdr:row>0</xdr:row>
      <xdr:rowOff>105834</xdr:rowOff>
    </xdr:from>
    <xdr:to>
      <xdr:col>1</xdr:col>
      <xdr:colOff>560918</xdr:colOff>
      <xdr:row>0</xdr:row>
      <xdr:rowOff>529168</xdr:rowOff>
    </xdr:to>
    <xdr:sp macro="[0]!Ajuste_Linhas" textlink="">
      <xdr:nvSpPr>
        <xdr:cNvPr id="3" name="Elipse 2">
          <a:extLst>
            <a:ext uri="{FF2B5EF4-FFF2-40B4-BE49-F238E27FC236}">
              <a16:creationId xmlns:a16="http://schemas.microsoft.com/office/drawing/2014/main" id="{BBE0473D-BEE4-4EDB-8EA6-1DCF95CA9D0E}"/>
            </a:ext>
          </a:extLst>
        </xdr:cNvPr>
        <xdr:cNvSpPr/>
      </xdr:nvSpPr>
      <xdr:spPr>
        <a:xfrm>
          <a:off x="42334" y="105834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42333</xdr:colOff>
      <xdr:row>0</xdr:row>
      <xdr:rowOff>84666</xdr:rowOff>
    </xdr:from>
    <xdr:to>
      <xdr:col>1</xdr:col>
      <xdr:colOff>560917</xdr:colOff>
      <xdr:row>0</xdr:row>
      <xdr:rowOff>508000</xdr:rowOff>
    </xdr:to>
    <xdr:sp macro="[0]!Ajuste_Linhas" textlink="">
      <xdr:nvSpPr>
        <xdr:cNvPr id="4" name="Elipse 3">
          <a:extLst>
            <a:ext uri="{FF2B5EF4-FFF2-40B4-BE49-F238E27FC236}">
              <a16:creationId xmlns:a16="http://schemas.microsoft.com/office/drawing/2014/main" id="{45975BF9-0E99-4247-B334-1DCED4699AD7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195</xdr:col>
      <xdr:colOff>95250</xdr:colOff>
      <xdr:row>0</xdr:row>
      <xdr:rowOff>10583</xdr:rowOff>
    </xdr:from>
    <xdr:to>
      <xdr:col>196</xdr:col>
      <xdr:colOff>571499</xdr:colOff>
      <xdr:row>0</xdr:row>
      <xdr:rowOff>582083</xdr:rowOff>
    </xdr:to>
    <xdr:sp macro="[0]!Overall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23930833" y="10583"/>
          <a:ext cx="1090083" cy="571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FF00"/>
              </a:solidFill>
            </a:rPr>
            <a:t>AJUSTES</a:t>
          </a:r>
        </a:p>
      </xdr:txBody>
    </xdr:sp>
    <xdr:clientData/>
  </xdr:twoCellAnchor>
  <xdr:twoCellAnchor>
    <xdr:from>
      <xdr:col>0</xdr:col>
      <xdr:colOff>42333</xdr:colOff>
      <xdr:row>0</xdr:row>
      <xdr:rowOff>84666</xdr:rowOff>
    </xdr:from>
    <xdr:to>
      <xdr:col>0</xdr:col>
      <xdr:colOff>560917</xdr:colOff>
      <xdr:row>0</xdr:row>
      <xdr:rowOff>508000</xdr:rowOff>
    </xdr:to>
    <xdr:sp macro="[0]!Ajuste_Linhas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2333" y="84666"/>
          <a:ext cx="518584" cy="423334"/>
        </a:xfrm>
        <a:prstGeom prst="ellipse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tabColor theme="5" tint="-0.249977111117893"/>
  </sheetPr>
  <dimension ref="A1:DW1001"/>
  <sheetViews>
    <sheetView tabSelected="1" zoomScale="90" zoomScaleNormal="90" workbookViewId="0">
      <pane xSplit="2" ySplit="1" topLeftCell="C2" activePane="bottomRight" state="frozen"/>
      <selection activeCell="G1" sqref="G1:G1048576"/>
      <selection pane="topRight" activeCell="G1" sqref="G1:G1048576"/>
      <selection pane="bottomLeft" activeCell="G1" sqref="G1:G1048576"/>
      <selection pane="bottomRight"/>
    </sheetView>
  </sheetViews>
  <sheetFormatPr defaultRowHeight="15" x14ac:dyDescent="0.25"/>
  <cols>
    <col min="2" max="2" width="30.7109375" style="54" customWidth="1"/>
    <col min="3" max="3" width="12.5703125" customWidth="1"/>
    <col min="4" max="4" width="21.7109375" customWidth="1"/>
    <col min="5" max="5" width="25.5703125" bestFit="1" customWidth="1"/>
    <col min="6" max="6" width="13.28515625" customWidth="1"/>
    <col min="7" max="9" width="15.7109375" customWidth="1"/>
    <col min="10" max="10" width="15.7109375" style="13" customWidth="1"/>
    <col min="11" max="12" width="15.7109375" customWidth="1"/>
    <col min="13" max="72" width="18.7109375" customWidth="1"/>
    <col min="73" max="73" width="18.7109375" style="13" customWidth="1"/>
    <col min="74" max="90" width="18.7109375" customWidth="1"/>
    <col min="91" max="91" width="9.7109375" style="1" customWidth="1"/>
    <col min="92" max="96" width="12.7109375" customWidth="1"/>
    <col min="97" max="97" width="12.7109375" style="1" customWidth="1"/>
    <col min="98" max="98" width="12.7109375" style="150" customWidth="1"/>
    <col min="99" max="127" width="12.7109375" style="1" customWidth="1"/>
  </cols>
  <sheetData>
    <row r="1" spans="1:127" ht="49.5" customHeight="1" thickBot="1" x14ac:dyDescent="0.3">
      <c r="A1" s="112" t="s">
        <v>305</v>
      </c>
      <c r="B1" s="4" t="s">
        <v>20</v>
      </c>
      <c r="C1" s="4" t="s">
        <v>212</v>
      </c>
      <c r="D1" s="94" t="s">
        <v>230</v>
      </c>
      <c r="E1" s="4" t="s">
        <v>28</v>
      </c>
      <c r="F1" s="8" t="s">
        <v>1</v>
      </c>
      <c r="G1" s="8" t="s">
        <v>95</v>
      </c>
      <c r="H1" s="8" t="s">
        <v>29</v>
      </c>
      <c r="I1" s="8" t="s">
        <v>89</v>
      </c>
      <c r="J1" s="85" t="s">
        <v>3</v>
      </c>
      <c r="K1" s="4" t="s">
        <v>229</v>
      </c>
      <c r="L1" s="8" t="s">
        <v>119</v>
      </c>
      <c r="M1" s="98" t="s">
        <v>38</v>
      </c>
      <c r="N1" s="98" t="s">
        <v>412</v>
      </c>
      <c r="O1" s="98" t="s">
        <v>411</v>
      </c>
      <c r="P1" s="138" t="s">
        <v>81</v>
      </c>
      <c r="Q1" s="138" t="s">
        <v>53</v>
      </c>
      <c r="R1" s="138" t="s">
        <v>323</v>
      </c>
      <c r="S1" s="138" t="s">
        <v>27</v>
      </c>
      <c r="T1" s="138" t="s">
        <v>638</v>
      </c>
      <c r="U1" s="138" t="s">
        <v>82</v>
      </c>
      <c r="V1" s="138" t="s">
        <v>76</v>
      </c>
      <c r="W1" s="369" t="s">
        <v>84</v>
      </c>
      <c r="X1" s="138" t="s">
        <v>529</v>
      </c>
      <c r="Y1" s="138" t="s">
        <v>530</v>
      </c>
      <c r="Z1" s="368" t="s">
        <v>525</v>
      </c>
      <c r="AA1" s="368" t="s">
        <v>526</v>
      </c>
      <c r="AB1" s="368" t="s">
        <v>527</v>
      </c>
      <c r="AC1" s="368" t="s">
        <v>428</v>
      </c>
      <c r="AD1" s="368" t="s">
        <v>528</v>
      </c>
      <c r="AE1" s="155" t="s">
        <v>358</v>
      </c>
      <c r="AF1" s="155" t="s">
        <v>359</v>
      </c>
      <c r="AG1" s="154" t="s">
        <v>113</v>
      </c>
      <c r="AH1" s="155" t="s">
        <v>360</v>
      </c>
      <c r="AI1" s="155" t="s">
        <v>361</v>
      </c>
      <c r="AJ1" s="154" t="s">
        <v>365</v>
      </c>
      <c r="AK1" s="155" t="s">
        <v>362</v>
      </c>
      <c r="AL1" s="155" t="s">
        <v>363</v>
      </c>
      <c r="AM1" s="154" t="s">
        <v>364</v>
      </c>
      <c r="AN1" s="136" t="s">
        <v>306</v>
      </c>
      <c r="AO1" s="136" t="s">
        <v>37</v>
      </c>
      <c r="AP1" s="136" t="s">
        <v>524</v>
      </c>
      <c r="AQ1" s="133" t="s">
        <v>83</v>
      </c>
      <c r="AR1" s="133" t="s">
        <v>36</v>
      </c>
      <c r="AS1" s="137" t="s">
        <v>94</v>
      </c>
      <c r="AT1" s="137" t="s">
        <v>149</v>
      </c>
      <c r="AU1" s="217" t="s">
        <v>357</v>
      </c>
      <c r="AV1" s="217" t="s">
        <v>414</v>
      </c>
      <c r="AW1" s="218" t="s">
        <v>222</v>
      </c>
      <c r="AX1" s="136" t="s">
        <v>466</v>
      </c>
      <c r="AY1" s="136" t="s">
        <v>172</v>
      </c>
      <c r="AZ1" s="147" t="s">
        <v>155</v>
      </c>
      <c r="BA1" s="147" t="s">
        <v>156</v>
      </c>
      <c r="BB1" s="153" t="s">
        <v>159</v>
      </c>
      <c r="BC1" s="153" t="s">
        <v>160</v>
      </c>
      <c r="BD1" s="153" t="s">
        <v>347</v>
      </c>
      <c r="BE1" s="153" t="s">
        <v>348</v>
      </c>
      <c r="BF1" s="153" t="s">
        <v>537</v>
      </c>
      <c r="BG1" s="264" t="s">
        <v>531</v>
      </c>
      <c r="BH1" s="147" t="s">
        <v>170</v>
      </c>
      <c r="BI1" s="147" t="s">
        <v>555</v>
      </c>
      <c r="BJ1" s="147" t="s">
        <v>319</v>
      </c>
      <c r="BK1" s="147" t="s">
        <v>554</v>
      </c>
      <c r="BL1" s="27" t="s">
        <v>171</v>
      </c>
      <c r="BM1" s="135" t="s">
        <v>353</v>
      </c>
      <c r="BN1" s="134" t="s">
        <v>354</v>
      </c>
      <c r="BO1" s="134" t="s">
        <v>35</v>
      </c>
      <c r="BP1" s="308" t="s">
        <v>39</v>
      </c>
      <c r="BQ1" s="308" t="s">
        <v>523</v>
      </c>
      <c r="BR1" s="262" t="s">
        <v>520</v>
      </c>
      <c r="BS1" s="262" t="s">
        <v>521</v>
      </c>
      <c r="BT1" s="262" t="s">
        <v>522</v>
      </c>
      <c r="BU1" s="263" t="s">
        <v>454</v>
      </c>
      <c r="BV1" s="174" t="s">
        <v>401</v>
      </c>
      <c r="BW1" s="174" t="s">
        <v>402</v>
      </c>
      <c r="BX1" s="175" t="s">
        <v>403</v>
      </c>
      <c r="BY1" s="175" t="s">
        <v>404</v>
      </c>
      <c r="BZ1" s="176" t="s">
        <v>405</v>
      </c>
      <c r="CA1" s="176" t="s">
        <v>406</v>
      </c>
      <c r="CB1" s="174" t="s">
        <v>407</v>
      </c>
      <c r="CC1" s="22" t="s">
        <v>355</v>
      </c>
      <c r="CD1" s="22" t="s">
        <v>356</v>
      </c>
      <c r="CE1" s="23" t="s">
        <v>68</v>
      </c>
      <c r="CF1" s="18" t="s">
        <v>321</v>
      </c>
      <c r="CG1" s="18" t="s">
        <v>69</v>
      </c>
      <c r="CH1" s="4" t="s">
        <v>231</v>
      </c>
      <c r="CI1" s="4" t="s">
        <v>232</v>
      </c>
      <c r="CJ1" s="4" t="s">
        <v>233</v>
      </c>
      <c r="CK1" s="132" t="s">
        <v>320</v>
      </c>
      <c r="CL1" s="110" t="s">
        <v>25</v>
      </c>
      <c r="CM1" s="289" t="s">
        <v>14</v>
      </c>
      <c r="CN1" s="290" t="s">
        <v>584</v>
      </c>
      <c r="CO1" s="290" t="s">
        <v>0</v>
      </c>
      <c r="CP1" s="290" t="s">
        <v>1</v>
      </c>
      <c r="CQ1" s="290" t="s">
        <v>20</v>
      </c>
      <c r="CR1" s="290" t="s">
        <v>2</v>
      </c>
      <c r="CS1" s="290" t="s">
        <v>40</v>
      </c>
      <c r="CT1" s="290" t="s">
        <v>3</v>
      </c>
      <c r="CU1" s="290" t="s">
        <v>29</v>
      </c>
      <c r="CV1" s="290" t="s">
        <v>88</v>
      </c>
      <c r="CW1" s="290" t="s">
        <v>30</v>
      </c>
      <c r="CX1" s="290" t="s">
        <v>585</v>
      </c>
      <c r="CY1" s="290" t="s">
        <v>599</v>
      </c>
      <c r="CZ1" s="290" t="s">
        <v>31</v>
      </c>
      <c r="DA1" s="290" t="s">
        <v>32</v>
      </c>
      <c r="DB1" s="290" t="s">
        <v>33</v>
      </c>
      <c r="DC1" s="290" t="s">
        <v>187</v>
      </c>
      <c r="DD1" s="290" t="s">
        <v>163</v>
      </c>
      <c r="DE1" s="290" t="s">
        <v>177</v>
      </c>
      <c r="DF1" s="290" t="s">
        <v>34</v>
      </c>
      <c r="DG1" s="290" t="s">
        <v>63</v>
      </c>
      <c r="DH1" s="290" t="s">
        <v>262</v>
      </c>
      <c r="DI1" s="290" t="s">
        <v>603</v>
      </c>
      <c r="DJ1" s="290" t="s">
        <v>604</v>
      </c>
      <c r="DK1" s="290" t="s">
        <v>605</v>
      </c>
      <c r="DL1" s="290" t="s">
        <v>606</v>
      </c>
      <c r="DM1" s="290" t="s">
        <v>15</v>
      </c>
      <c r="DN1" s="290" t="s">
        <v>16</v>
      </c>
      <c r="DO1" s="290" t="s">
        <v>161</v>
      </c>
      <c r="DP1" s="290" t="s">
        <v>188</v>
      </c>
      <c r="DQ1" s="290" t="s">
        <v>587</v>
      </c>
      <c r="DR1" s="290" t="s">
        <v>103</v>
      </c>
      <c r="DS1" s="290" t="s">
        <v>595</v>
      </c>
      <c r="DT1" s="290" t="s">
        <v>48</v>
      </c>
      <c r="DU1" s="290" t="s">
        <v>634</v>
      </c>
      <c r="DV1" s="290" t="s">
        <v>635</v>
      </c>
      <c r="DW1" s="291" t="s">
        <v>600</v>
      </c>
    </row>
    <row r="2" spans="1:127" ht="24.95" customHeight="1" thickBot="1" x14ac:dyDescent="0.3">
      <c r="A2" s="29" t="str">
        <f t="shared" ref="A2:A11" si="0">ROW()-1 &amp; "º"</f>
        <v>1º</v>
      </c>
      <c r="B2" s="69" t="str">
        <f>CQ2</f>
        <v>Cadu</v>
      </c>
      <c r="C2" s="265" t="str">
        <f>CN2</f>
        <v>BRA</v>
      </c>
      <c r="D2" s="99" t="str">
        <f>CS2</f>
        <v>Pé Direito</v>
      </c>
      <c r="E2" s="28" t="str">
        <f>CO2</f>
        <v>Linense (SP)</v>
      </c>
      <c r="F2" s="167">
        <f>CP2</f>
        <v>23</v>
      </c>
      <c r="G2" s="2" t="str">
        <f>CR2</f>
        <v>€1m - €9m</v>
      </c>
      <c r="H2" s="152">
        <f>IFERROR(SUBSTITUTE(CU2," cm","")/100,0)</f>
        <v>1.91</v>
      </c>
      <c r="I2" s="64">
        <f>IF(CV2="-", "Sem Data Final", CV2)</f>
        <v>46327</v>
      </c>
      <c r="J2" s="300" t="str">
        <f>IFERROR(CT2,0)</f>
        <v>€2,3m p/m</v>
      </c>
      <c r="K2" s="96">
        <f>IFERROR(AVERAGE(L:L),0)</f>
        <v>14.095555555555555</v>
      </c>
      <c r="L2" s="144">
        <f>IFERROR(CX2/90,0)</f>
        <v>16</v>
      </c>
      <c r="M2" s="6">
        <f>CW2</f>
        <v>2</v>
      </c>
      <c r="N2" s="5">
        <f>IFERROR((CX2/M2),5400)</f>
        <v>720</v>
      </c>
      <c r="O2" s="21">
        <f>IFERROR((M2*1)/L2,0)</f>
        <v>0.125</v>
      </c>
      <c r="P2" s="2">
        <f>DM2</f>
        <v>468</v>
      </c>
      <c r="Q2" s="2">
        <f>DN2</f>
        <v>398</v>
      </c>
      <c r="R2" s="5">
        <f>IFERROR((Q2/L2),0)</f>
        <v>24.875</v>
      </c>
      <c r="S2" s="2">
        <f>IFERROR(P2-Q2,0)</f>
        <v>70</v>
      </c>
      <c r="T2" s="5">
        <f>S2/L2</f>
        <v>4.375</v>
      </c>
      <c r="U2" s="102">
        <f>IFERROR(((P2-Q2)*1)/P2,0)</f>
        <v>0.14957264957264957</v>
      </c>
      <c r="V2" s="102">
        <f>IFERROR((Q2*1)/P2,0)</f>
        <v>0.8504273504273504</v>
      </c>
      <c r="W2" s="2">
        <f>IFERROR(Q2-S2,0)</f>
        <v>328</v>
      </c>
      <c r="X2" s="6">
        <f>DM2-DK2</f>
        <v>449</v>
      </c>
      <c r="Y2" s="5">
        <f>IFERROR(X2/L2,0)</f>
        <v>28.0625</v>
      </c>
      <c r="Z2" s="6">
        <f>DK2</f>
        <v>19</v>
      </c>
      <c r="AA2" s="5">
        <f>Z2/L2</f>
        <v>1.1875</v>
      </c>
      <c r="AB2" s="21">
        <f>IFERROR(Z2/X2,0)</f>
        <v>4.2316258351893093E-2</v>
      </c>
      <c r="AC2" s="6">
        <f>DL2</f>
        <v>1</v>
      </c>
      <c r="AD2" s="5">
        <f>AC2/L2</f>
        <v>6.25E-2</v>
      </c>
      <c r="AE2" s="366">
        <f>CZ2</f>
        <v>35</v>
      </c>
      <c r="AF2" s="367">
        <f>IFERROR(AE2/L2,0)</f>
        <v>2.1875</v>
      </c>
      <c r="AG2" s="21">
        <f>IFERROR((AE2*1)/AQ2,0)</f>
        <v>0.40697674418604651</v>
      </c>
      <c r="AH2" s="366">
        <f>DA2</f>
        <v>19</v>
      </c>
      <c r="AI2" s="367">
        <f>IFERROR(AH2/L2,0)</f>
        <v>1.1875</v>
      </c>
      <c r="AJ2" s="21">
        <f>IFERROR((AH2*1)/AQ2,0)</f>
        <v>0.22093023255813954</v>
      </c>
      <c r="AK2" s="366">
        <f>DB2</f>
        <v>32</v>
      </c>
      <c r="AL2" s="367">
        <f>IFERROR(AK2/R2,0)</f>
        <v>1.2864321608040201</v>
      </c>
      <c r="AM2" s="21">
        <f>IFERROR((AK2*1)/AQ2,0)</f>
        <v>0.37209302325581395</v>
      </c>
      <c r="AN2" s="21">
        <f>IFERROR((AO2*1)/L2,0)</f>
        <v>0.375</v>
      </c>
      <c r="AO2" s="6">
        <f>DF2</f>
        <v>6</v>
      </c>
      <c r="AP2" s="5">
        <f>IFERROR(AO2/L2,0)</f>
        <v>0.375</v>
      </c>
      <c r="AQ2" s="6">
        <f>IFERROR(CZ2+DA2+DB2,0)</f>
        <v>86</v>
      </c>
      <c r="AR2" s="5">
        <f>IFERROR(AQ2/L2,0)</f>
        <v>5.375</v>
      </c>
      <c r="AS2" s="2">
        <f>IFERROR((DA2+DB2+CZ2+CY2),0)</f>
        <v>111</v>
      </c>
      <c r="AT2" s="5">
        <f>IFERROR(AS2/L2,0)</f>
        <v>6.9375</v>
      </c>
      <c r="AU2" s="21">
        <f>IFERROR(AQ2/AS2,0)</f>
        <v>0.77477477477477474</v>
      </c>
      <c r="AV2" s="20">
        <f>IFERROR(((DA2+DB2+BJ2)*1)/(AS2-CZ2),0)</f>
        <v>0.67105263157894735</v>
      </c>
      <c r="AW2" s="20">
        <f>IFERROR((BO2*1)/AT2,1)</f>
        <v>0.22522522522522523</v>
      </c>
      <c r="AX2" s="196">
        <f>IFERROR((AH2*2+AK2*1.5+AE2*1)/AS2,0)</f>
        <v>1.0900900900900901</v>
      </c>
      <c r="AY2" s="24">
        <f>IFERROR(CX2/CY2,0)</f>
        <v>57.6</v>
      </c>
      <c r="AZ2" s="5">
        <f>IFERROR((CY2+CZ2+DA2+DB2)/CY2,0)</f>
        <v>4.4400000000000004</v>
      </c>
      <c r="BA2" s="5">
        <f>IFERROR((CY2+DA2+DB2)/CY2,0)</f>
        <v>3.04</v>
      </c>
      <c r="BB2" s="5">
        <f>IF(DO2="-","Sem Dados",VALUE(SUBSTITUTE(DO2,".",","))
)</f>
        <v>-0.25</v>
      </c>
      <c r="BC2" s="5">
        <f>IFERROR(BB2/L2,0)</f>
        <v>-1.5625E-2</v>
      </c>
      <c r="BD2" s="5">
        <f>IFERROR(BB2-(BJ2*0.79),-100)</f>
        <v>-0.25</v>
      </c>
      <c r="BE2" s="5">
        <f>IFERROR(BD2/L2,0)</f>
        <v>-1.5625E-2</v>
      </c>
      <c r="BF2" s="196">
        <f>IFERROR(BC2/AP2,BC2)</f>
        <v>-4.1666666666666664E-2</v>
      </c>
      <c r="BG2" s="21">
        <f>IFERROR(BB2/(BB2+CY2),0)</f>
        <v>-1.0101010101010102E-2</v>
      </c>
      <c r="BH2" s="6">
        <f>DU2</f>
        <v>1</v>
      </c>
      <c r="BI2" s="5">
        <f>BH2/L2</f>
        <v>6.25E-2</v>
      </c>
      <c r="BJ2" s="6">
        <f>DV2</f>
        <v>0</v>
      </c>
      <c r="BK2" s="5">
        <f>BJ2/L2</f>
        <v>0</v>
      </c>
      <c r="BL2" s="20">
        <f>IFERROR((DV2*1)/DU2,-0.000000000001)</f>
        <v>0</v>
      </c>
      <c r="BM2" s="20">
        <f>IFERROR((CY2*1)/SUM(CY:CY),0)</f>
        <v>0.11904761904761904</v>
      </c>
      <c r="BN2" s="6">
        <f>CY2</f>
        <v>25</v>
      </c>
      <c r="BO2" s="5">
        <f>IFERROR(BN2/L2,0)</f>
        <v>1.5625</v>
      </c>
      <c r="BP2" s="314">
        <f>DQ2</f>
        <v>0</v>
      </c>
      <c r="BQ2" s="315">
        <f>IFERROR(BP2/L2,0)</f>
        <v>0</v>
      </c>
      <c r="BR2" s="6">
        <f>IFERROR(BS2*L2,0)</f>
        <v>169.6</v>
      </c>
      <c r="BS2" s="5">
        <f>DD2</f>
        <v>10.6</v>
      </c>
      <c r="BT2" s="6">
        <f>IFERROR(BU2*L2,0)</f>
        <v>105.6</v>
      </c>
      <c r="BU2" s="5">
        <f>DE2</f>
        <v>6.6</v>
      </c>
      <c r="BV2" s="178">
        <f>IFERROR((DC2+DR2+(DT2*2.5)+DG2+DQ2),0)</f>
        <v>1</v>
      </c>
      <c r="BW2" s="152">
        <f>IFERROR(BV2/L2,0)</f>
        <v>6.25E-2</v>
      </c>
      <c r="BX2" s="178">
        <f>IFERROR((DP2+DS2+(DT2*2.5)),0)</f>
        <v>0</v>
      </c>
      <c r="BY2" s="177">
        <f>IFERROR(BX2/L2,0)</f>
        <v>0</v>
      </c>
      <c r="BZ2" s="178">
        <f>IFERROR((DC2-DP2)+(DR2-DS2)+(DT2*2.5)+(DG2),0)</f>
        <v>1</v>
      </c>
      <c r="CA2" s="152">
        <f>IFERROR(BZ2/L2,0)</f>
        <v>6.25E-2</v>
      </c>
      <c r="CB2" s="179">
        <f>IFERROR((BX2*1)/BV2,0)</f>
        <v>0</v>
      </c>
      <c r="CC2" s="2">
        <f>DG2</f>
        <v>0</v>
      </c>
      <c r="CD2" s="2">
        <f>DH2</f>
        <v>0</v>
      </c>
      <c r="CE2" s="2">
        <f>IFERROR(CC2+CD2,0)</f>
        <v>0</v>
      </c>
      <c r="CF2" s="2">
        <f>DJ2</f>
        <v>0</v>
      </c>
      <c r="CG2" s="6">
        <f>DI2</f>
        <v>0</v>
      </c>
      <c r="CH2" s="6">
        <f>IFERROR(CZ2+CY2+DA2+DB2+DU2+DM2+DG2+(DE2*1.33)+(DF2*2)+(DQ2*2.5)+DR2+DC2,0)</f>
        <v>601.77800000000002</v>
      </c>
      <c r="CI2" s="6">
        <f>IFERROR(CZ2+DA2+DB2+DV2+DN2+DS2+DP2,0)</f>
        <v>484</v>
      </c>
      <c r="CJ2" s="20">
        <f>IFERROR((CI2*1)/CH2,0)</f>
        <v>0.80428330713319529</v>
      </c>
      <c r="CK2" s="131">
        <f>SUM(AS:AS)</f>
        <v>892</v>
      </c>
      <c r="CL2" s="5">
        <f>IFERROR(VALUE(SUBSTITUTE(DW2, ".", ",")),0)</f>
        <v>7.08</v>
      </c>
      <c r="CM2" s="296" t="s">
        <v>19</v>
      </c>
      <c r="CN2" s="292" t="s">
        <v>13</v>
      </c>
      <c r="CO2" s="292" t="s">
        <v>911</v>
      </c>
      <c r="CP2" s="292">
        <v>23</v>
      </c>
      <c r="CQ2" s="292" t="s">
        <v>1118</v>
      </c>
      <c r="CR2" s="292" t="s">
        <v>1119</v>
      </c>
      <c r="CS2" s="292" t="s">
        <v>601</v>
      </c>
      <c r="CT2" s="292" t="s">
        <v>810</v>
      </c>
      <c r="CU2" s="292" t="s">
        <v>780</v>
      </c>
      <c r="CV2" s="293">
        <v>46327</v>
      </c>
      <c r="CW2" s="292">
        <v>2</v>
      </c>
      <c r="CX2" s="292">
        <v>1440</v>
      </c>
      <c r="CY2" s="292">
        <v>25</v>
      </c>
      <c r="CZ2" s="292">
        <v>35</v>
      </c>
      <c r="DA2" s="292">
        <v>19</v>
      </c>
      <c r="DB2" s="292">
        <v>32</v>
      </c>
      <c r="DC2" s="292">
        <v>0</v>
      </c>
      <c r="DD2" s="292">
        <v>10.6</v>
      </c>
      <c r="DE2" s="292">
        <v>6.6</v>
      </c>
      <c r="DF2" s="292">
        <v>6</v>
      </c>
      <c r="DG2" s="292">
        <v>0</v>
      </c>
      <c r="DH2" s="292">
        <v>0</v>
      </c>
      <c r="DI2" s="292">
        <v>0</v>
      </c>
      <c r="DJ2" s="292">
        <v>0</v>
      </c>
      <c r="DK2" s="292">
        <v>19</v>
      </c>
      <c r="DL2" s="292">
        <v>1</v>
      </c>
      <c r="DM2" s="292">
        <v>468</v>
      </c>
      <c r="DN2" s="292">
        <v>398</v>
      </c>
      <c r="DO2" s="292" t="s">
        <v>1120</v>
      </c>
      <c r="DP2" s="292">
        <v>0</v>
      </c>
      <c r="DQ2" s="292">
        <v>0</v>
      </c>
      <c r="DR2" s="292">
        <v>1</v>
      </c>
      <c r="DS2" s="292">
        <v>0</v>
      </c>
      <c r="DT2" s="292">
        <v>0</v>
      </c>
      <c r="DU2" s="292">
        <v>1</v>
      </c>
      <c r="DV2" s="292">
        <v>0</v>
      </c>
      <c r="DW2" s="297">
        <v>7.08</v>
      </c>
    </row>
    <row r="3" spans="1:127" ht="24.95" customHeight="1" thickBot="1" x14ac:dyDescent="0.3">
      <c r="A3" s="29" t="str">
        <f t="shared" si="0"/>
        <v>2º</v>
      </c>
      <c r="B3" s="69" t="str">
        <f>CQ3</f>
        <v>Cassiano</v>
      </c>
      <c r="C3" s="265" t="str">
        <f>CN3</f>
        <v>BRA</v>
      </c>
      <c r="D3" s="99" t="str">
        <f>CS3</f>
        <v>Somente Pé Direito</v>
      </c>
      <c r="E3" s="28" t="str">
        <f>CO3</f>
        <v>Osasco Sporting</v>
      </c>
      <c r="F3" s="167">
        <f>CP3</f>
        <v>27</v>
      </c>
      <c r="G3" s="2">
        <f>CR3</f>
        <v>0</v>
      </c>
      <c r="H3" s="152">
        <f>IFERROR(SUBSTITUTE(CU3," cm","")/100,0)</f>
        <v>1.9</v>
      </c>
      <c r="I3" s="64">
        <f>IF(CV3="-", "Sem Data Final", CV3)</f>
        <v>46387</v>
      </c>
      <c r="J3" s="300" t="str">
        <f>IFERROR(CT3,0)</f>
        <v>€2,2m p/m</v>
      </c>
      <c r="K3" s="96">
        <f>IFERROR(AVERAGE(L:L),0)</f>
        <v>14.095555555555555</v>
      </c>
      <c r="L3" s="144">
        <f>IFERROR(CX3/90,0)</f>
        <v>17</v>
      </c>
      <c r="M3" s="6">
        <f>CW3</f>
        <v>2</v>
      </c>
      <c r="N3" s="5">
        <f>IFERROR((CX3/M3),5400)</f>
        <v>765</v>
      </c>
      <c r="O3" s="21">
        <f>IFERROR((M3*1)/L3,0)</f>
        <v>0.11764705882352941</v>
      </c>
      <c r="P3" s="2">
        <f>DM3</f>
        <v>448</v>
      </c>
      <c r="Q3" s="2">
        <f>DN3</f>
        <v>297</v>
      </c>
      <c r="R3" s="5">
        <f>IFERROR((Q3/L3),0)</f>
        <v>17.470588235294116</v>
      </c>
      <c r="S3" s="2">
        <f>IFERROR(P3-Q3,0)</f>
        <v>151</v>
      </c>
      <c r="T3" s="5">
        <f>S3/L3</f>
        <v>8.882352941176471</v>
      </c>
      <c r="U3" s="102">
        <f>IFERROR(((P3-Q3)*1)/P3,0)</f>
        <v>0.33705357142857145</v>
      </c>
      <c r="V3" s="102">
        <f>IFERROR((Q3*1)/P3,0)</f>
        <v>0.6629464285714286</v>
      </c>
      <c r="W3" s="2">
        <f>IFERROR(Q3-S3,0)</f>
        <v>146</v>
      </c>
      <c r="X3" s="6">
        <f>DM3-DK3</f>
        <v>421</v>
      </c>
      <c r="Y3" s="5">
        <f>IFERROR(X3/L3,0)</f>
        <v>24.764705882352942</v>
      </c>
      <c r="Z3" s="6">
        <f>DK3</f>
        <v>27</v>
      </c>
      <c r="AA3" s="5">
        <f>Z3/L3</f>
        <v>1.588235294117647</v>
      </c>
      <c r="AB3" s="21">
        <f>IFERROR(Z3/X3,0)</f>
        <v>6.413301662707839E-2</v>
      </c>
      <c r="AC3" s="6">
        <f>DL3</f>
        <v>2</v>
      </c>
      <c r="AD3" s="5">
        <f>AC3/L3</f>
        <v>0.11764705882352941</v>
      </c>
      <c r="AE3" s="366">
        <f>CZ3</f>
        <v>43</v>
      </c>
      <c r="AF3" s="367">
        <f>IFERROR(AE3/L3,0)</f>
        <v>2.5294117647058822</v>
      </c>
      <c r="AG3" s="21">
        <f>IFERROR((AE3*1)/AQ3,0)</f>
        <v>0.59722222222222221</v>
      </c>
      <c r="AH3" s="366">
        <f>DA3</f>
        <v>7</v>
      </c>
      <c r="AI3" s="367">
        <f>IFERROR(AH3/L3,0)</f>
        <v>0.41176470588235292</v>
      </c>
      <c r="AJ3" s="21">
        <f>IFERROR((AH3*1)/AQ3,0)</f>
        <v>9.7222222222222224E-2</v>
      </c>
      <c r="AK3" s="366">
        <f>DB3</f>
        <v>22</v>
      </c>
      <c r="AL3" s="367">
        <f>IFERROR(AK3/R3,0)</f>
        <v>1.2592592592592593</v>
      </c>
      <c r="AM3" s="21">
        <f>IFERROR((AK3*1)/AQ3,0)</f>
        <v>0.30555555555555558</v>
      </c>
      <c r="AN3" s="21">
        <f>IFERROR((AO3*1)/L3,0)</f>
        <v>0.23529411764705882</v>
      </c>
      <c r="AO3" s="6">
        <f>DF3</f>
        <v>4</v>
      </c>
      <c r="AP3" s="5">
        <f>IFERROR(AO3/L3,0)</f>
        <v>0.23529411764705882</v>
      </c>
      <c r="AQ3" s="6">
        <f>IFERROR(CZ3+DA3+DB3,0)</f>
        <v>72</v>
      </c>
      <c r="AR3" s="5">
        <f>IFERROR(AQ3/L3,0)</f>
        <v>4.2352941176470589</v>
      </c>
      <c r="AS3" s="2">
        <f>IFERROR((DA3+DB3+CZ3+CY3),0)</f>
        <v>91</v>
      </c>
      <c r="AT3" s="5">
        <f>IFERROR(AS3/L3,0)</f>
        <v>5.3529411764705879</v>
      </c>
      <c r="AU3" s="21">
        <f>IFERROR(AQ3/AS3,0)</f>
        <v>0.79120879120879117</v>
      </c>
      <c r="AV3" s="20">
        <f>IFERROR(((DA3+DB3+BJ3)*1)/(AS3-CZ3),0)</f>
        <v>0.60416666666666663</v>
      </c>
      <c r="AW3" s="20">
        <f>IFERROR((BO3*1)/AT3,1)</f>
        <v>0.2087912087912088</v>
      </c>
      <c r="AX3" s="196">
        <f>IFERROR((AH3*2+AK3*1.5+AE3*1)/AS3,0)</f>
        <v>0.98901098901098905</v>
      </c>
      <c r="AY3" s="24">
        <f>IFERROR(CX3/CY3,0)</f>
        <v>80.526315789473685</v>
      </c>
      <c r="AZ3" s="5">
        <f>IFERROR((CY3+CZ3+DA3+DB3)/CY3,0)</f>
        <v>4.7894736842105265</v>
      </c>
      <c r="BA3" s="5">
        <f>IFERROR((CY3+DA3+DB3)/CY3,0)</f>
        <v>2.5263157894736841</v>
      </c>
      <c r="BB3" s="5">
        <f>IF(DO3="-","Sem Dados",VALUE(SUBSTITUTE(DO3,".",","))
)</f>
        <v>-0.9</v>
      </c>
      <c r="BC3" s="5">
        <f>IFERROR(BB3/L3,0)</f>
        <v>-5.2941176470588235E-2</v>
      </c>
      <c r="BD3" s="5">
        <f>IFERROR(BB3-(BJ3*0.79),-100)</f>
        <v>-0.9</v>
      </c>
      <c r="BE3" s="5">
        <f>IFERROR(BD3/L3,0)</f>
        <v>-5.2941176470588235E-2</v>
      </c>
      <c r="BF3" s="196">
        <f>IFERROR(BC3/AP3,BC3)</f>
        <v>-0.22500000000000001</v>
      </c>
      <c r="BG3" s="21">
        <f>IFERROR(BB3/(BB3+CY3),0)</f>
        <v>-4.9723756906077346E-2</v>
      </c>
      <c r="BH3" s="6">
        <f>DU3</f>
        <v>0</v>
      </c>
      <c r="BI3" s="5">
        <f>BH3/L3</f>
        <v>0</v>
      </c>
      <c r="BJ3" s="6">
        <f>DV3</f>
        <v>0</v>
      </c>
      <c r="BK3" s="5">
        <f>BJ3/L3</f>
        <v>0</v>
      </c>
      <c r="BL3" s="20">
        <f>IFERROR((DV3*1)/DU3,-0.000000000001)</f>
        <v>-9.9999999999999998E-13</v>
      </c>
      <c r="BM3" s="20">
        <f>IFERROR((CY3*1)/SUM(CY:CY),0)</f>
        <v>9.0476190476190474E-2</v>
      </c>
      <c r="BN3" s="6">
        <f>CY3</f>
        <v>19</v>
      </c>
      <c r="BO3" s="5">
        <f>IFERROR(BN3/L3,0)</f>
        <v>1.1176470588235294</v>
      </c>
      <c r="BP3" s="314">
        <f>DQ3</f>
        <v>0</v>
      </c>
      <c r="BQ3" s="315">
        <f>IFERROR(BP3/L3,0)</f>
        <v>0</v>
      </c>
      <c r="BR3" s="6">
        <f>IFERROR(BS3*L3,0)</f>
        <v>212.5</v>
      </c>
      <c r="BS3" s="5">
        <f>DD3</f>
        <v>12.5</v>
      </c>
      <c r="BT3" s="6">
        <f>IFERROR(BU3*L3,0)</f>
        <v>202.3</v>
      </c>
      <c r="BU3" s="5">
        <f>DE3</f>
        <v>11.9</v>
      </c>
      <c r="BV3" s="178">
        <f>IFERROR((DC3+DR3+(DT3*2.5)+DG3+DQ3),0)</f>
        <v>0</v>
      </c>
      <c r="BW3" s="152">
        <f>IFERROR(BV3/L3,0)</f>
        <v>0</v>
      </c>
      <c r="BX3" s="178">
        <f>IFERROR((DP3+DS3+(DT3*2.5)),0)</f>
        <v>0</v>
      </c>
      <c r="BY3" s="177">
        <f>IFERROR(BX3/L3,0)</f>
        <v>0</v>
      </c>
      <c r="BZ3" s="178">
        <f>IFERROR((DC3-DP3)+(DR3-DS3)+(DT3*2.5)+(DG3),0)</f>
        <v>0</v>
      </c>
      <c r="CA3" s="152">
        <f>IFERROR(BZ3/L3,0)</f>
        <v>0</v>
      </c>
      <c r="CB3" s="179">
        <f>IFERROR((BX3*1)/BV3,0)</f>
        <v>0</v>
      </c>
      <c r="CC3" s="2">
        <f>DG3</f>
        <v>0</v>
      </c>
      <c r="CD3" s="2">
        <f>DH3</f>
        <v>0</v>
      </c>
      <c r="CE3" s="2">
        <f>IFERROR(CC3+CD3,0)</f>
        <v>0</v>
      </c>
      <c r="CF3" s="2">
        <f>DJ3</f>
        <v>0</v>
      </c>
      <c r="CG3" s="6">
        <f>DI3</f>
        <v>0</v>
      </c>
      <c r="CH3" s="6">
        <f>IFERROR(CZ3+CY3+DA3+DB3+DU3+DM3+DG3+(DE3*1.33)+(DF3*2)+(DQ3*2.5)+DR3+DC3,0)</f>
        <v>562.827</v>
      </c>
      <c r="CI3" s="6">
        <f>IFERROR(CZ3+DA3+DB3+DV3+DN3+DS3+DP3,0)</f>
        <v>369</v>
      </c>
      <c r="CJ3" s="20">
        <f>IFERROR((CI3*1)/CH3,0)</f>
        <v>0.65561886689870952</v>
      </c>
      <c r="CK3" s="131">
        <f>SUM(AS:AS)</f>
        <v>892</v>
      </c>
      <c r="CL3" s="5">
        <f>IFERROR(VALUE(SUBSTITUTE(DW3, ".", ",")),0)</f>
        <v>6.92</v>
      </c>
      <c r="CM3" s="298"/>
      <c r="CN3" s="294" t="s">
        <v>13</v>
      </c>
      <c r="CO3" s="294" t="s">
        <v>1115</v>
      </c>
      <c r="CP3" s="294">
        <v>27</v>
      </c>
      <c r="CQ3" s="294" t="s">
        <v>1116</v>
      </c>
      <c r="CR3" s="392">
        <v>0</v>
      </c>
      <c r="CS3" s="294" t="s">
        <v>602</v>
      </c>
      <c r="CT3" s="294" t="s">
        <v>931</v>
      </c>
      <c r="CU3" s="294" t="s">
        <v>639</v>
      </c>
      <c r="CV3" s="295">
        <v>46387</v>
      </c>
      <c r="CW3" s="294">
        <v>2</v>
      </c>
      <c r="CX3" s="294">
        <v>1530</v>
      </c>
      <c r="CY3" s="294">
        <v>19</v>
      </c>
      <c r="CZ3" s="294">
        <v>43</v>
      </c>
      <c r="DA3" s="294">
        <v>7</v>
      </c>
      <c r="DB3" s="294">
        <v>22</v>
      </c>
      <c r="DC3" s="294">
        <v>0</v>
      </c>
      <c r="DD3" s="294">
        <v>12.5</v>
      </c>
      <c r="DE3" s="294">
        <v>11.9</v>
      </c>
      <c r="DF3" s="294">
        <v>4</v>
      </c>
      <c r="DG3" s="294">
        <v>0</v>
      </c>
      <c r="DH3" s="294">
        <v>0</v>
      </c>
      <c r="DI3" s="294">
        <v>0</v>
      </c>
      <c r="DJ3" s="294">
        <v>0</v>
      </c>
      <c r="DK3" s="294">
        <v>27</v>
      </c>
      <c r="DL3" s="294">
        <v>2</v>
      </c>
      <c r="DM3" s="294">
        <v>448</v>
      </c>
      <c r="DN3" s="294">
        <v>297</v>
      </c>
      <c r="DO3" s="294" t="s">
        <v>1117</v>
      </c>
      <c r="DP3" s="294">
        <v>0</v>
      </c>
      <c r="DQ3" s="294">
        <v>0</v>
      </c>
      <c r="DR3" s="294">
        <v>0</v>
      </c>
      <c r="DS3" s="294">
        <v>0</v>
      </c>
      <c r="DT3" s="294">
        <v>0</v>
      </c>
      <c r="DU3" s="294">
        <v>0</v>
      </c>
      <c r="DV3" s="294">
        <v>0</v>
      </c>
      <c r="DW3" s="299">
        <v>6.92</v>
      </c>
    </row>
    <row r="4" spans="1:127" ht="24.95" customHeight="1" thickBot="1" x14ac:dyDescent="0.3">
      <c r="A4" s="29" t="str">
        <f t="shared" si="0"/>
        <v>3º</v>
      </c>
      <c r="B4" s="69" t="str">
        <f>CQ4</f>
        <v>Gabriel Félix</v>
      </c>
      <c r="C4" s="265" t="str">
        <f>CN4</f>
        <v>BRA</v>
      </c>
      <c r="D4" s="99" t="str">
        <f>CS4</f>
        <v>Pé Direito</v>
      </c>
      <c r="E4" s="28" t="str">
        <f>CO4</f>
        <v>Votuporanguense</v>
      </c>
      <c r="F4" s="167">
        <f>CP4</f>
        <v>31</v>
      </c>
      <c r="G4" s="2" t="str">
        <f>CR4</f>
        <v>€1,5m - €5m</v>
      </c>
      <c r="H4" s="152">
        <f>IFERROR(SUBSTITUTE(CU4," cm","")/100,0)</f>
        <v>1.9</v>
      </c>
      <c r="I4" s="64">
        <f>IF(CV4="-", "Sem Data Final", CV4)</f>
        <v>46157</v>
      </c>
      <c r="J4" s="300" t="str">
        <f>IFERROR(CT4,0)</f>
        <v>€4,4m p/m</v>
      </c>
      <c r="K4" s="96">
        <f>IFERROR(AVERAGE(L:L),0)</f>
        <v>14.095555555555555</v>
      </c>
      <c r="L4" s="144">
        <f>IFERROR(CX4/90,0)</f>
        <v>15</v>
      </c>
      <c r="M4" s="6">
        <f>CW4</f>
        <v>2</v>
      </c>
      <c r="N4" s="5">
        <f>IFERROR((CX4/M4),5400)</f>
        <v>675</v>
      </c>
      <c r="O4" s="21">
        <f>IFERROR((M4*1)/L4,0)</f>
        <v>0.13333333333333333</v>
      </c>
      <c r="P4" s="2">
        <f>DM4</f>
        <v>417</v>
      </c>
      <c r="Q4" s="2">
        <f>DN4</f>
        <v>362</v>
      </c>
      <c r="R4" s="5">
        <f>IFERROR((Q4/L4),0)</f>
        <v>24.133333333333333</v>
      </c>
      <c r="S4" s="2">
        <f>IFERROR(P4-Q4,0)</f>
        <v>55</v>
      </c>
      <c r="T4" s="5">
        <f>S4/L4</f>
        <v>3.6666666666666665</v>
      </c>
      <c r="U4" s="102">
        <f>IFERROR(((P4-Q4)*1)/P4,0)</f>
        <v>0.13189448441247004</v>
      </c>
      <c r="V4" s="102">
        <f>IFERROR((Q4*1)/P4,0)</f>
        <v>0.86810551558753002</v>
      </c>
      <c r="W4" s="2">
        <f>IFERROR(Q4-S4,0)</f>
        <v>307</v>
      </c>
      <c r="X4" s="6">
        <f>DM4-DK4</f>
        <v>402</v>
      </c>
      <c r="Y4" s="5">
        <f>IFERROR(X4/L4,0)</f>
        <v>26.8</v>
      </c>
      <c r="Z4" s="6">
        <f>DK4</f>
        <v>15</v>
      </c>
      <c r="AA4" s="5">
        <f>Z4/L4</f>
        <v>1</v>
      </c>
      <c r="AB4" s="21">
        <f>IFERROR(Z4/X4,0)</f>
        <v>3.7313432835820892E-2</v>
      </c>
      <c r="AC4" s="6">
        <f>DL4</f>
        <v>1</v>
      </c>
      <c r="AD4" s="5">
        <f>AC4/L4</f>
        <v>6.6666666666666666E-2</v>
      </c>
      <c r="AE4" s="366">
        <f>CZ4</f>
        <v>27</v>
      </c>
      <c r="AF4" s="367">
        <f>IFERROR(AE4/L4,0)</f>
        <v>1.8</v>
      </c>
      <c r="AG4" s="21">
        <f>IFERROR((AE4*1)/AQ4,0)</f>
        <v>0.39705882352941174</v>
      </c>
      <c r="AH4" s="366">
        <f>DA4</f>
        <v>12</v>
      </c>
      <c r="AI4" s="367">
        <f>IFERROR(AH4/L4,0)</f>
        <v>0.8</v>
      </c>
      <c r="AJ4" s="21">
        <f>IFERROR((AH4*1)/AQ4,0)</f>
        <v>0.17647058823529413</v>
      </c>
      <c r="AK4" s="366">
        <f>DB4</f>
        <v>29</v>
      </c>
      <c r="AL4" s="367">
        <f>IFERROR(AK4/R4,0)</f>
        <v>1.201657458563536</v>
      </c>
      <c r="AM4" s="21">
        <f>IFERROR((AK4*1)/AQ4,0)</f>
        <v>0.4264705882352941</v>
      </c>
      <c r="AN4" s="21">
        <f>IFERROR((AO4*1)/L4,0)</f>
        <v>0.33333333333333331</v>
      </c>
      <c r="AO4" s="6">
        <f>DF4</f>
        <v>5</v>
      </c>
      <c r="AP4" s="5">
        <f>IFERROR(AO4/L4,0)</f>
        <v>0.33333333333333331</v>
      </c>
      <c r="AQ4" s="6">
        <f>IFERROR(CZ4+DA4+DB4,0)</f>
        <v>68</v>
      </c>
      <c r="AR4" s="5">
        <f>IFERROR(AQ4/L4,0)</f>
        <v>4.5333333333333332</v>
      </c>
      <c r="AS4" s="2">
        <f>IFERROR((DA4+DB4+CZ4+CY4),0)</f>
        <v>92</v>
      </c>
      <c r="AT4" s="5">
        <f>IFERROR(AS4/L4,0)</f>
        <v>6.1333333333333337</v>
      </c>
      <c r="AU4" s="21">
        <f>IFERROR(AQ4/AS4,0)</f>
        <v>0.73913043478260865</v>
      </c>
      <c r="AV4" s="20">
        <f>IFERROR(((DA4+DB4+BJ4)*1)/(AS4-CZ4),0)</f>
        <v>0.64615384615384619</v>
      </c>
      <c r="AW4" s="20">
        <f>IFERROR((BO4*1)/AT4,1)</f>
        <v>0.2608695652173913</v>
      </c>
      <c r="AX4" s="196">
        <f>IFERROR((AH4*2+AK4*1.5+AE4*1)/AS4,0)</f>
        <v>1.0271739130434783</v>
      </c>
      <c r="AY4" s="24">
        <f>IFERROR(CX4/CY4,0)</f>
        <v>56.25</v>
      </c>
      <c r="AZ4" s="5">
        <f>IFERROR((CY4+CZ4+DA4+DB4)/CY4,0)</f>
        <v>3.8333333333333335</v>
      </c>
      <c r="BA4" s="5">
        <f>IFERROR((CY4+DA4+DB4)/CY4,0)</f>
        <v>2.7083333333333335</v>
      </c>
      <c r="BB4" s="5">
        <f>IF(DO4="-","Sem Dados",VALUE(SUBSTITUTE(DO4,".",","))
)</f>
        <v>-3.35</v>
      </c>
      <c r="BC4" s="5">
        <f>IFERROR(BB4/L4,0)</f>
        <v>-0.22333333333333333</v>
      </c>
      <c r="BD4" s="5">
        <f>IFERROR(BB4-(BJ4*0.79),-100)</f>
        <v>-4.1400000000000006</v>
      </c>
      <c r="BE4" s="5">
        <f>IFERROR(BD4/L4,0)</f>
        <v>-0.27600000000000002</v>
      </c>
      <c r="BF4" s="196">
        <f>IFERROR(BC4/AP4,BC4)</f>
        <v>-0.67</v>
      </c>
      <c r="BG4" s="21">
        <f>IFERROR(BB4/(BB4+CY4),0)</f>
        <v>-0.16222760290556903</v>
      </c>
      <c r="BH4" s="6">
        <f>DU4</f>
        <v>2</v>
      </c>
      <c r="BI4" s="5">
        <f>BH4/L4</f>
        <v>0.13333333333333333</v>
      </c>
      <c r="BJ4" s="6">
        <f>DV4</f>
        <v>1</v>
      </c>
      <c r="BK4" s="5">
        <f>BJ4/L4</f>
        <v>6.6666666666666666E-2</v>
      </c>
      <c r="BL4" s="20">
        <f>IFERROR((DV4*1)/DU4,-0.000000000001)</f>
        <v>0.5</v>
      </c>
      <c r="BM4" s="20">
        <f>IFERROR((CY4*1)/SUM(CY:CY),0)</f>
        <v>0.11428571428571428</v>
      </c>
      <c r="BN4" s="6">
        <f>CY4</f>
        <v>24</v>
      </c>
      <c r="BO4" s="5">
        <f>IFERROR(BN4/L4,0)</f>
        <v>1.6</v>
      </c>
      <c r="BP4" s="314">
        <f>DQ4</f>
        <v>1</v>
      </c>
      <c r="BQ4" s="315">
        <f>IFERROR(BP4/L4,0)</f>
        <v>6.6666666666666666E-2</v>
      </c>
      <c r="BR4" s="6">
        <f>IFERROR(BS4*L4,0)</f>
        <v>172.5</v>
      </c>
      <c r="BS4" s="5">
        <f>DD4</f>
        <v>11.5</v>
      </c>
      <c r="BT4" s="6">
        <f>IFERROR(BU4*L4,0)</f>
        <v>91.5</v>
      </c>
      <c r="BU4" s="5">
        <f>DE4</f>
        <v>6.1</v>
      </c>
      <c r="BV4" s="178">
        <f>IFERROR((DC4+DR4+(DT4*2.5)+DG4+DQ4),0)</f>
        <v>3</v>
      </c>
      <c r="BW4" s="152">
        <f>IFERROR(BV4/L4,0)</f>
        <v>0.2</v>
      </c>
      <c r="BX4" s="178">
        <f>IFERROR((DP4+DS4+(DT4*2.5)),0)</f>
        <v>1</v>
      </c>
      <c r="BY4" s="177">
        <f>IFERROR(BX4/L4,0)</f>
        <v>6.6666666666666666E-2</v>
      </c>
      <c r="BZ4" s="178">
        <f>IFERROR((DC4-DP4)+(DR4-DS4)+(DT4*2.5)+(DG4),0)</f>
        <v>1</v>
      </c>
      <c r="CA4" s="152">
        <f>IFERROR(BZ4/L4,0)</f>
        <v>6.6666666666666666E-2</v>
      </c>
      <c r="CB4" s="179">
        <f>IFERROR((BX4*1)/BV4,0)</f>
        <v>0.33333333333333331</v>
      </c>
      <c r="CC4" s="2">
        <f>DG4</f>
        <v>0</v>
      </c>
      <c r="CD4" s="2">
        <f>DH4</f>
        <v>0</v>
      </c>
      <c r="CE4" s="2">
        <f>IFERROR(CC4+CD4,0)</f>
        <v>0</v>
      </c>
      <c r="CF4" s="2">
        <f>DJ4</f>
        <v>0</v>
      </c>
      <c r="CG4" s="6">
        <f>DI4</f>
        <v>0</v>
      </c>
      <c r="CH4" s="6">
        <f>IFERROR(CZ4+CY4+DA4+DB4+DU4+DM4+DG4+(DE4*1.33)+(DF4*2)+(DQ4*2.5)+DR4+DC4,0)</f>
        <v>533.61300000000006</v>
      </c>
      <c r="CI4" s="6">
        <f>IFERROR(CZ4+DA4+DB4+DV4+DN4+DS4+DP4,0)</f>
        <v>432</v>
      </c>
      <c r="CJ4" s="20">
        <f>IFERROR((CI4*1)/CH4,0)</f>
        <v>0.80957547885827363</v>
      </c>
      <c r="CK4" s="131">
        <f>SUM(AS:AS)</f>
        <v>892</v>
      </c>
      <c r="CL4" s="5">
        <f>IFERROR(VALUE(SUBSTITUTE(DW4, ".", ",")),0)</f>
        <v>6.95</v>
      </c>
      <c r="CM4" s="296"/>
      <c r="CN4" s="292" t="s">
        <v>13</v>
      </c>
      <c r="CO4" s="292" t="s">
        <v>1125</v>
      </c>
      <c r="CP4" s="292">
        <v>31</v>
      </c>
      <c r="CQ4" s="292" t="s">
        <v>1126</v>
      </c>
      <c r="CR4" s="292" t="s">
        <v>1127</v>
      </c>
      <c r="CS4" s="292" t="s">
        <v>601</v>
      </c>
      <c r="CT4" s="292" t="s">
        <v>804</v>
      </c>
      <c r="CU4" s="292" t="s">
        <v>639</v>
      </c>
      <c r="CV4" s="293">
        <v>46157</v>
      </c>
      <c r="CW4" s="292">
        <v>2</v>
      </c>
      <c r="CX4" s="292">
        <v>1350</v>
      </c>
      <c r="CY4" s="292">
        <v>24</v>
      </c>
      <c r="CZ4" s="292">
        <v>27</v>
      </c>
      <c r="DA4" s="292">
        <v>12</v>
      </c>
      <c r="DB4" s="292">
        <v>29</v>
      </c>
      <c r="DC4" s="292">
        <v>0</v>
      </c>
      <c r="DD4" s="292">
        <v>11.5</v>
      </c>
      <c r="DE4" s="292">
        <v>6.1</v>
      </c>
      <c r="DF4" s="292">
        <v>5</v>
      </c>
      <c r="DG4" s="292">
        <v>0</v>
      </c>
      <c r="DH4" s="292">
        <v>0</v>
      </c>
      <c r="DI4" s="292">
        <v>0</v>
      </c>
      <c r="DJ4" s="292">
        <v>0</v>
      </c>
      <c r="DK4" s="292">
        <v>15</v>
      </c>
      <c r="DL4" s="292">
        <v>1</v>
      </c>
      <c r="DM4" s="292">
        <v>417</v>
      </c>
      <c r="DN4" s="292">
        <v>362</v>
      </c>
      <c r="DO4" s="292" t="s">
        <v>1128</v>
      </c>
      <c r="DP4" s="292">
        <v>0</v>
      </c>
      <c r="DQ4" s="292">
        <v>1</v>
      </c>
      <c r="DR4" s="292">
        <v>2</v>
      </c>
      <c r="DS4" s="292">
        <v>1</v>
      </c>
      <c r="DT4" s="292">
        <v>0</v>
      </c>
      <c r="DU4" s="292">
        <v>2</v>
      </c>
      <c r="DV4" s="292">
        <v>1</v>
      </c>
      <c r="DW4" s="297">
        <v>6.95</v>
      </c>
    </row>
    <row r="5" spans="1:127" ht="24.95" customHeight="1" thickBot="1" x14ac:dyDescent="0.3">
      <c r="A5" s="29" t="str">
        <f t="shared" si="0"/>
        <v>4º</v>
      </c>
      <c r="B5" s="69" t="str">
        <f>CQ5</f>
        <v>Gabriel Gasparotto</v>
      </c>
      <c r="C5" s="265" t="str">
        <f>CN5</f>
        <v>BRA</v>
      </c>
      <c r="D5" s="99" t="str">
        <f>CS5</f>
        <v>Somente Pé Direito</v>
      </c>
      <c r="E5" s="28" t="str">
        <f>CO5</f>
        <v>Santo André</v>
      </c>
      <c r="F5" s="167">
        <f>CP5</f>
        <v>33</v>
      </c>
      <c r="G5" s="2">
        <f>CR5</f>
        <v>0</v>
      </c>
      <c r="H5" s="152">
        <f>IFERROR(SUBSTITUTE(CU5," cm","")/100,0)</f>
        <v>1.96</v>
      </c>
      <c r="I5" s="64">
        <f>IF(CV5="-", "Sem Data Final", CV5)</f>
        <v>46157</v>
      </c>
      <c r="J5" s="300" t="str">
        <f>IFERROR(CT5,0)</f>
        <v>€2,3m p/m</v>
      </c>
      <c r="K5" s="96">
        <f>IFERROR(AVERAGE(L:L),0)</f>
        <v>14.095555555555555</v>
      </c>
      <c r="L5" s="144">
        <f>IFERROR(CX5/90,0)</f>
        <v>15</v>
      </c>
      <c r="M5" s="6">
        <f>CW5</f>
        <v>0</v>
      </c>
      <c r="N5" s="5">
        <f>IFERROR((CX5/M5),5400)</f>
        <v>5400</v>
      </c>
      <c r="O5" s="21">
        <f>IFERROR((M5*1)/L5,0)</f>
        <v>0</v>
      </c>
      <c r="P5" s="2">
        <f>DM5</f>
        <v>426</v>
      </c>
      <c r="Q5" s="2">
        <f>DN5</f>
        <v>372</v>
      </c>
      <c r="R5" s="5">
        <f>IFERROR((Q5/L5),0)</f>
        <v>24.8</v>
      </c>
      <c r="S5" s="2">
        <f>IFERROR(P5-Q5,0)</f>
        <v>54</v>
      </c>
      <c r="T5" s="5">
        <f>S5/L5</f>
        <v>3.6</v>
      </c>
      <c r="U5" s="102">
        <f>IFERROR(((P5-Q5)*1)/P5,0)</f>
        <v>0.12676056338028169</v>
      </c>
      <c r="V5" s="102">
        <f>IFERROR((Q5*1)/P5,0)</f>
        <v>0.87323943661971826</v>
      </c>
      <c r="W5" s="2">
        <f>IFERROR(Q5-S5,0)</f>
        <v>318</v>
      </c>
      <c r="X5" s="6">
        <f>DM5-DK5</f>
        <v>418</v>
      </c>
      <c r="Y5" s="5">
        <f>IFERROR(X5/L5,0)</f>
        <v>27.866666666666667</v>
      </c>
      <c r="Z5" s="6">
        <f>DK5</f>
        <v>8</v>
      </c>
      <c r="AA5" s="5">
        <f>Z5/L5</f>
        <v>0.53333333333333333</v>
      </c>
      <c r="AB5" s="21">
        <f>IFERROR(Z5/X5,0)</f>
        <v>1.9138755980861243E-2</v>
      </c>
      <c r="AC5" s="6">
        <f>DL5</f>
        <v>1</v>
      </c>
      <c r="AD5" s="5">
        <f>AC5/L5</f>
        <v>6.6666666666666666E-2</v>
      </c>
      <c r="AE5" s="366">
        <f>CZ5</f>
        <v>35</v>
      </c>
      <c r="AF5" s="367">
        <f>IFERROR(AE5/L5,0)</f>
        <v>2.3333333333333335</v>
      </c>
      <c r="AG5" s="21">
        <f>IFERROR((AE5*1)/AQ5,0)</f>
        <v>0.47945205479452052</v>
      </c>
      <c r="AH5" s="366">
        <f>DA5</f>
        <v>8</v>
      </c>
      <c r="AI5" s="367">
        <f>IFERROR(AH5/L5,0)</f>
        <v>0.53333333333333333</v>
      </c>
      <c r="AJ5" s="21">
        <f>IFERROR((AH5*1)/AQ5,0)</f>
        <v>0.1095890410958904</v>
      </c>
      <c r="AK5" s="366">
        <f>DB5</f>
        <v>30</v>
      </c>
      <c r="AL5" s="367">
        <f>IFERROR(AK5/R5,0)</f>
        <v>1.2096774193548387</v>
      </c>
      <c r="AM5" s="21">
        <f>IFERROR((AK5*1)/AQ5,0)</f>
        <v>0.41095890410958902</v>
      </c>
      <c r="AN5" s="21">
        <f>IFERROR((AO5*1)/L5,0)</f>
        <v>6.6666666666666666E-2</v>
      </c>
      <c r="AO5" s="6">
        <f>DF5</f>
        <v>1</v>
      </c>
      <c r="AP5" s="5">
        <f>IFERROR(AO5/L5,0)</f>
        <v>6.6666666666666666E-2</v>
      </c>
      <c r="AQ5" s="6">
        <f>IFERROR(CZ5+DA5+DB5,0)</f>
        <v>73</v>
      </c>
      <c r="AR5" s="5">
        <f>IFERROR(AQ5/L5,0)</f>
        <v>4.8666666666666663</v>
      </c>
      <c r="AS5" s="2">
        <f>IFERROR((DA5+DB5+CZ5+CY5),0)</f>
        <v>98</v>
      </c>
      <c r="AT5" s="5">
        <f>IFERROR(AS5/L5,0)</f>
        <v>6.5333333333333332</v>
      </c>
      <c r="AU5" s="21">
        <f>IFERROR(AQ5/AS5,0)</f>
        <v>0.74489795918367352</v>
      </c>
      <c r="AV5" s="20">
        <f>IFERROR(((DA5+DB5+BJ5)*1)/(AS5-CZ5),0)</f>
        <v>0.60317460317460314</v>
      </c>
      <c r="AW5" s="20">
        <f>IFERROR((BO5*1)/AT5,1)</f>
        <v>0.25510204081632654</v>
      </c>
      <c r="AX5" s="196">
        <f>IFERROR((AH5*2+AK5*1.5+AE5*1)/AS5,0)</f>
        <v>0.97959183673469385</v>
      </c>
      <c r="AY5" s="24">
        <f>IFERROR(CX5/CY5,0)</f>
        <v>54</v>
      </c>
      <c r="AZ5" s="5">
        <f>IFERROR((CY5+CZ5+DA5+DB5)/CY5,0)</f>
        <v>3.92</v>
      </c>
      <c r="BA5" s="5">
        <f>IFERROR((CY5+DA5+DB5)/CY5,0)</f>
        <v>2.52</v>
      </c>
      <c r="BB5" s="5">
        <f>IF(DO5="-","Sem Dados",VALUE(SUBSTITUTE(DO5,".",","))
)</f>
        <v>-6.97</v>
      </c>
      <c r="BC5" s="5">
        <f>IFERROR(BB5/L5,0)</f>
        <v>-0.46466666666666667</v>
      </c>
      <c r="BD5" s="5">
        <f>IFERROR(BB5-(BJ5*0.79),-100)</f>
        <v>-6.97</v>
      </c>
      <c r="BE5" s="5">
        <f>IFERROR(BD5/L5,0)</f>
        <v>-0.46466666666666667</v>
      </c>
      <c r="BF5" s="196">
        <f>IFERROR(BC5/AP5,BC5)</f>
        <v>-6.97</v>
      </c>
      <c r="BG5" s="21">
        <f>IFERROR(BB5/(BB5+CY5),0)</f>
        <v>-0.38657792567942312</v>
      </c>
      <c r="BH5" s="6">
        <f>DU5</f>
        <v>1</v>
      </c>
      <c r="BI5" s="5">
        <f>BH5/L5</f>
        <v>6.6666666666666666E-2</v>
      </c>
      <c r="BJ5" s="6">
        <f>DV5</f>
        <v>0</v>
      </c>
      <c r="BK5" s="5">
        <f>BJ5/L5</f>
        <v>0</v>
      </c>
      <c r="BL5" s="20">
        <f>IFERROR((DV5*1)/DU5,-0.000000000001)</f>
        <v>0</v>
      </c>
      <c r="BM5" s="20">
        <f>IFERROR((CY5*1)/SUM(CY:CY),0)</f>
        <v>0.11904761904761904</v>
      </c>
      <c r="BN5" s="6">
        <f>CY5</f>
        <v>25</v>
      </c>
      <c r="BO5" s="5">
        <f>IFERROR(BN5/L5,0)</f>
        <v>1.6666666666666667</v>
      </c>
      <c r="BP5" s="314">
        <f>DQ5</f>
        <v>3</v>
      </c>
      <c r="BQ5" s="315">
        <f>IFERROR(BP5/L5,0)</f>
        <v>0.2</v>
      </c>
      <c r="BR5" s="6">
        <f>IFERROR(BS5*L5,0)</f>
        <v>174</v>
      </c>
      <c r="BS5" s="5">
        <f>DD5</f>
        <v>11.6</v>
      </c>
      <c r="BT5" s="6">
        <f>IFERROR(BU5*L5,0)</f>
        <v>82.5</v>
      </c>
      <c r="BU5" s="5">
        <f>DE5</f>
        <v>5.5</v>
      </c>
      <c r="BV5" s="178">
        <f>IFERROR((DC5+DR5+(DT5*2.5)+DG5+DQ5),0)</f>
        <v>5</v>
      </c>
      <c r="BW5" s="152">
        <f>IFERROR(BV5/L5,0)</f>
        <v>0.33333333333333331</v>
      </c>
      <c r="BX5" s="178">
        <f>IFERROR((DP5+DS5+(DT5*2.5)),0)</f>
        <v>0</v>
      </c>
      <c r="BY5" s="177">
        <f>IFERROR(BX5/L5,0)</f>
        <v>0</v>
      </c>
      <c r="BZ5" s="178">
        <f>IFERROR((DC5-DP5)+(DR5-DS5)+(DT5*2.5)+(DG5),0)</f>
        <v>2</v>
      </c>
      <c r="CA5" s="152">
        <f>IFERROR(BZ5/L5,0)</f>
        <v>0.13333333333333333</v>
      </c>
      <c r="CB5" s="179">
        <f>IFERROR((BX5*1)/BV5,0)</f>
        <v>0</v>
      </c>
      <c r="CC5" s="2">
        <f>DG5</f>
        <v>0</v>
      </c>
      <c r="CD5" s="2">
        <f>DH5</f>
        <v>0</v>
      </c>
      <c r="CE5" s="2">
        <f>IFERROR(CC5+CD5,0)</f>
        <v>0</v>
      </c>
      <c r="CF5" s="2">
        <f>DJ5</f>
        <v>0</v>
      </c>
      <c r="CG5" s="6">
        <f>DI5</f>
        <v>0</v>
      </c>
      <c r="CH5" s="6">
        <f>IFERROR(CZ5+CY5+DA5+DB5+DU5+DM5+DG5+(DE5*1.33)+(DF5*2)+(DQ5*2.5)+DR5+DC5,0)</f>
        <v>543.81500000000005</v>
      </c>
      <c r="CI5" s="6">
        <f>IFERROR(CZ5+DA5+DB5+DV5+DN5+DS5+DP5,0)</f>
        <v>445</v>
      </c>
      <c r="CJ5" s="20">
        <f>IFERROR((CI5*1)/CH5,0)</f>
        <v>0.81829298566608122</v>
      </c>
      <c r="CK5" s="131">
        <f>SUM(AS:AS)</f>
        <v>892</v>
      </c>
      <c r="CL5" s="5">
        <f>IFERROR(VALUE(SUBSTITUTE(DW5, ".", ",")),0)</f>
        <v>6.67</v>
      </c>
      <c r="CM5" s="296"/>
      <c r="CN5" s="292" t="s">
        <v>13</v>
      </c>
      <c r="CO5" s="292" t="s">
        <v>852</v>
      </c>
      <c r="CP5" s="292">
        <v>33</v>
      </c>
      <c r="CQ5" s="292" t="s">
        <v>1132</v>
      </c>
      <c r="CR5" s="393">
        <v>0</v>
      </c>
      <c r="CS5" s="292" t="s">
        <v>602</v>
      </c>
      <c r="CT5" s="292" t="s">
        <v>810</v>
      </c>
      <c r="CU5" s="292" t="s">
        <v>1133</v>
      </c>
      <c r="CV5" s="293">
        <v>46157</v>
      </c>
      <c r="CW5" s="292">
        <v>0</v>
      </c>
      <c r="CX5" s="292">
        <v>1350</v>
      </c>
      <c r="CY5" s="292">
        <v>25</v>
      </c>
      <c r="CZ5" s="292">
        <v>35</v>
      </c>
      <c r="DA5" s="292">
        <v>8</v>
      </c>
      <c r="DB5" s="292">
        <v>30</v>
      </c>
      <c r="DC5" s="292">
        <v>1</v>
      </c>
      <c r="DD5" s="292">
        <v>11.6</v>
      </c>
      <c r="DE5" s="292">
        <v>5.5</v>
      </c>
      <c r="DF5" s="292">
        <v>1</v>
      </c>
      <c r="DG5" s="292">
        <v>0</v>
      </c>
      <c r="DH5" s="292">
        <v>0</v>
      </c>
      <c r="DI5" s="292">
        <v>0</v>
      </c>
      <c r="DJ5" s="292">
        <v>0</v>
      </c>
      <c r="DK5" s="292">
        <v>8</v>
      </c>
      <c r="DL5" s="292">
        <v>1</v>
      </c>
      <c r="DM5" s="292">
        <v>426</v>
      </c>
      <c r="DN5" s="292">
        <v>372</v>
      </c>
      <c r="DO5" s="292" t="s">
        <v>1134</v>
      </c>
      <c r="DP5" s="292">
        <v>0</v>
      </c>
      <c r="DQ5" s="292">
        <v>3</v>
      </c>
      <c r="DR5" s="292">
        <v>1</v>
      </c>
      <c r="DS5" s="292">
        <v>0</v>
      </c>
      <c r="DT5" s="292">
        <v>0</v>
      </c>
      <c r="DU5" s="292">
        <v>1</v>
      </c>
      <c r="DV5" s="292">
        <v>0</v>
      </c>
      <c r="DW5" s="297">
        <v>6.67</v>
      </c>
    </row>
    <row r="6" spans="1:127" ht="24.95" customHeight="1" thickBot="1" x14ac:dyDescent="0.3">
      <c r="A6" s="29" t="str">
        <f t="shared" si="0"/>
        <v>5º</v>
      </c>
      <c r="B6" s="69" t="str">
        <f>CQ6</f>
        <v>Igor</v>
      </c>
      <c r="C6" s="265" t="str">
        <f>CN6</f>
        <v>BRA</v>
      </c>
      <c r="D6" s="99" t="str">
        <f>CS6</f>
        <v>Somente Pé Direito</v>
      </c>
      <c r="E6" s="28" t="str">
        <f>CO6</f>
        <v>Monte Azul</v>
      </c>
      <c r="F6" s="167">
        <f>CP6</f>
        <v>37</v>
      </c>
      <c r="G6" s="2">
        <f>CR6</f>
        <v>0</v>
      </c>
      <c r="H6" s="152">
        <f>IFERROR(SUBSTITUTE(CU6," cm","")/100,0)</f>
        <v>1.91</v>
      </c>
      <c r="I6" s="64">
        <f>IF(CV6="-", "Sem Data Final", CV6)</f>
        <v>46126</v>
      </c>
      <c r="J6" s="300" t="str">
        <f>IFERROR(CT6,0)</f>
        <v>€1,2m p/m</v>
      </c>
      <c r="K6" s="96">
        <f>IFERROR(AVERAGE(L:L),0)</f>
        <v>14.095555555555555</v>
      </c>
      <c r="L6" s="144">
        <f>IFERROR(CX6/90,0)</f>
        <v>15</v>
      </c>
      <c r="M6" s="6">
        <f>CW6</f>
        <v>1</v>
      </c>
      <c r="N6" s="5">
        <f>IFERROR((CX6/M6),5400)</f>
        <v>1350</v>
      </c>
      <c r="O6" s="21">
        <f>IFERROR((M6*1)/L6,0)</f>
        <v>6.6666666666666666E-2</v>
      </c>
      <c r="P6" s="2">
        <f>DM6</f>
        <v>306</v>
      </c>
      <c r="Q6" s="2">
        <f>DN6</f>
        <v>133</v>
      </c>
      <c r="R6" s="5">
        <f>IFERROR((Q6/L6),0)</f>
        <v>8.8666666666666671</v>
      </c>
      <c r="S6" s="2">
        <f>IFERROR(P6-Q6,0)</f>
        <v>173</v>
      </c>
      <c r="T6" s="5">
        <f>S6/L6</f>
        <v>11.533333333333333</v>
      </c>
      <c r="U6" s="102">
        <f>IFERROR(((P6-Q6)*1)/P6,0)</f>
        <v>0.565359477124183</v>
      </c>
      <c r="V6" s="102">
        <f>IFERROR((Q6*1)/P6,0)</f>
        <v>0.434640522875817</v>
      </c>
      <c r="W6" s="2">
        <f>IFERROR(Q6-S6,0)</f>
        <v>-40</v>
      </c>
      <c r="X6" s="6">
        <f>DM6-DK6</f>
        <v>297</v>
      </c>
      <c r="Y6" s="5">
        <f>IFERROR(X6/L6,0)</f>
        <v>19.8</v>
      </c>
      <c r="Z6" s="6">
        <f>DK6</f>
        <v>9</v>
      </c>
      <c r="AA6" s="5">
        <f>Z6/L6</f>
        <v>0.6</v>
      </c>
      <c r="AB6" s="21">
        <f>IFERROR(Z6/X6,0)</f>
        <v>3.0303030303030304E-2</v>
      </c>
      <c r="AC6" s="6">
        <f>DL6</f>
        <v>1</v>
      </c>
      <c r="AD6" s="5">
        <f>AC6/L6</f>
        <v>6.6666666666666666E-2</v>
      </c>
      <c r="AE6" s="366">
        <f>CZ6</f>
        <v>46</v>
      </c>
      <c r="AF6" s="367">
        <f>IFERROR(AE6/L6,0)</f>
        <v>3.0666666666666669</v>
      </c>
      <c r="AG6" s="21">
        <f>IFERROR((AE6*1)/AQ6,0)</f>
        <v>0.55421686746987953</v>
      </c>
      <c r="AH6" s="366">
        <f>DA6</f>
        <v>7</v>
      </c>
      <c r="AI6" s="367">
        <f>IFERROR(AH6/L6,0)</f>
        <v>0.46666666666666667</v>
      </c>
      <c r="AJ6" s="21">
        <f>IFERROR((AH6*1)/AQ6,0)</f>
        <v>8.4337349397590355E-2</v>
      </c>
      <c r="AK6" s="366">
        <f>DB6</f>
        <v>30</v>
      </c>
      <c r="AL6" s="367">
        <f>IFERROR(AK6/R6,0)</f>
        <v>3.3834586466165413</v>
      </c>
      <c r="AM6" s="21">
        <f>IFERROR((AK6*1)/AQ6,0)</f>
        <v>0.36144578313253012</v>
      </c>
      <c r="AN6" s="21">
        <f>IFERROR((AO6*1)/L6,0)</f>
        <v>0.2</v>
      </c>
      <c r="AO6" s="6">
        <f>DF6</f>
        <v>3</v>
      </c>
      <c r="AP6" s="5">
        <f>IFERROR(AO6/L6,0)</f>
        <v>0.2</v>
      </c>
      <c r="AQ6" s="6">
        <f>IFERROR(CZ6+DA6+DB6,0)</f>
        <v>83</v>
      </c>
      <c r="AR6" s="5">
        <f>IFERROR(AQ6/L6,0)</f>
        <v>5.5333333333333332</v>
      </c>
      <c r="AS6" s="2">
        <f>IFERROR((DA6+DB6+CZ6+CY6),0)</f>
        <v>113</v>
      </c>
      <c r="AT6" s="5">
        <f>IFERROR(AS6/L6,0)</f>
        <v>7.5333333333333332</v>
      </c>
      <c r="AU6" s="21">
        <f>IFERROR(AQ6/AS6,0)</f>
        <v>0.73451327433628322</v>
      </c>
      <c r="AV6" s="20">
        <f>IFERROR(((DA6+DB6+BJ6)*1)/(AS6-CZ6),0)</f>
        <v>0.55223880597014929</v>
      </c>
      <c r="AW6" s="20">
        <f>IFERROR((BO6*1)/AT6,1)</f>
        <v>0.26548672566371684</v>
      </c>
      <c r="AX6" s="196">
        <f>IFERROR((AH6*2+AK6*1.5+AE6*1)/AS6,0)</f>
        <v>0.92920353982300885</v>
      </c>
      <c r="AY6" s="24">
        <f>IFERROR(CX6/CY6,0)</f>
        <v>45</v>
      </c>
      <c r="AZ6" s="5">
        <f>IFERROR((CY6+CZ6+DA6+DB6)/CY6,0)</f>
        <v>3.7666666666666666</v>
      </c>
      <c r="BA6" s="5">
        <f>IFERROR((CY6+DA6+DB6)/CY6,0)</f>
        <v>2.2333333333333334</v>
      </c>
      <c r="BB6" s="5">
        <f>IF(DO6="-","Sem Dados",VALUE(SUBSTITUTE(DO6,".",","))
)</f>
        <v>-10.42</v>
      </c>
      <c r="BC6" s="5">
        <f>IFERROR(BB6/L6,0)</f>
        <v>-0.69466666666666665</v>
      </c>
      <c r="BD6" s="5">
        <f>IFERROR(BB6-(BJ6*0.79),-100)</f>
        <v>-10.42</v>
      </c>
      <c r="BE6" s="5">
        <f>IFERROR(BD6/L6,0)</f>
        <v>-0.69466666666666665</v>
      </c>
      <c r="BF6" s="196">
        <f>IFERROR(BC6/AP6,BC6)</f>
        <v>-3.4733333333333332</v>
      </c>
      <c r="BG6" s="21">
        <f>IFERROR(BB6/(BB6+CY6),0)</f>
        <v>-0.53217568947906035</v>
      </c>
      <c r="BH6" s="6">
        <f>DU6</f>
        <v>2</v>
      </c>
      <c r="BI6" s="5">
        <f>BH6/L6</f>
        <v>0.13333333333333333</v>
      </c>
      <c r="BJ6" s="6">
        <f>DV6</f>
        <v>0</v>
      </c>
      <c r="BK6" s="5">
        <f>BJ6/L6</f>
        <v>0</v>
      </c>
      <c r="BL6" s="20">
        <f>IFERROR((DV6*1)/DU6,-0.000000000001)</f>
        <v>0</v>
      </c>
      <c r="BM6" s="20">
        <f>IFERROR((CY6*1)/SUM(CY:CY),0)</f>
        <v>0.14285714285714285</v>
      </c>
      <c r="BN6" s="6">
        <f>CY6</f>
        <v>30</v>
      </c>
      <c r="BO6" s="5">
        <f>IFERROR(BN6/L6,0)</f>
        <v>2</v>
      </c>
      <c r="BP6" s="314">
        <f>DQ6</f>
        <v>1</v>
      </c>
      <c r="BQ6" s="315">
        <f>IFERROR(BP6/L6,0)</f>
        <v>6.6666666666666666E-2</v>
      </c>
      <c r="BR6" s="6">
        <f>IFERROR(BS6*L6,0)</f>
        <v>133.5</v>
      </c>
      <c r="BS6" s="5">
        <f>DD6</f>
        <v>8.9</v>
      </c>
      <c r="BT6" s="6">
        <f>IFERROR(BU6*L6,0)</f>
        <v>208.5</v>
      </c>
      <c r="BU6" s="5">
        <f>DE6</f>
        <v>13.9</v>
      </c>
      <c r="BV6" s="178">
        <f>IFERROR((DC6+DR6+(DT6*2.5)+DG6+DQ6),0)</f>
        <v>3</v>
      </c>
      <c r="BW6" s="152">
        <f>IFERROR(BV6/L6,0)</f>
        <v>0.2</v>
      </c>
      <c r="BX6" s="178">
        <f>IFERROR((DP6+DS6+(DT6*2.5)),0)</f>
        <v>0</v>
      </c>
      <c r="BY6" s="177">
        <f>IFERROR(BX6/L6,0)</f>
        <v>0</v>
      </c>
      <c r="BZ6" s="178">
        <f>IFERROR((DC6-DP6)+(DR6-DS6)+(DT6*2.5)+(DG6),0)</f>
        <v>2</v>
      </c>
      <c r="CA6" s="152">
        <f>IFERROR(BZ6/L6,0)</f>
        <v>0.13333333333333333</v>
      </c>
      <c r="CB6" s="179">
        <f>IFERROR((BX6*1)/BV6,0)</f>
        <v>0</v>
      </c>
      <c r="CC6" s="2">
        <f>DG6</f>
        <v>0</v>
      </c>
      <c r="CD6" s="2">
        <f>DH6</f>
        <v>0</v>
      </c>
      <c r="CE6" s="2">
        <f>IFERROR(CC6+CD6,0)</f>
        <v>0</v>
      </c>
      <c r="CF6" s="2">
        <f>DJ6</f>
        <v>0</v>
      </c>
      <c r="CG6" s="6">
        <f>DI6</f>
        <v>0</v>
      </c>
      <c r="CH6" s="6">
        <f>IFERROR(CZ6+CY6+DA6+DB6+DU6+DM6+DG6+(DE6*1.33)+(DF6*2)+(DQ6*2.5)+DR6+DC6,0)</f>
        <v>449.98700000000002</v>
      </c>
      <c r="CI6" s="6">
        <f>IFERROR(CZ6+DA6+DB6+DV6+DN6+DS6+DP6,0)</f>
        <v>216</v>
      </c>
      <c r="CJ6" s="20">
        <f>IFERROR((CI6*1)/CH6,0)</f>
        <v>0.48001386706727078</v>
      </c>
      <c r="CK6" s="131">
        <f>SUM(AS:AS)</f>
        <v>892</v>
      </c>
      <c r="CL6" s="5">
        <f>IFERROR(VALUE(SUBSTITUTE(DW6, ".", ",")),0)</f>
        <v>6.64</v>
      </c>
      <c r="CM6" s="296"/>
      <c r="CN6" s="292" t="s">
        <v>13</v>
      </c>
      <c r="CO6" s="292" t="s">
        <v>879</v>
      </c>
      <c r="CP6" s="292">
        <v>37</v>
      </c>
      <c r="CQ6" s="292" t="s">
        <v>1135</v>
      </c>
      <c r="CR6" s="393">
        <v>0</v>
      </c>
      <c r="CS6" s="292" t="s">
        <v>602</v>
      </c>
      <c r="CT6" s="292" t="s">
        <v>855</v>
      </c>
      <c r="CU6" s="292" t="s">
        <v>780</v>
      </c>
      <c r="CV6" s="293">
        <v>46126</v>
      </c>
      <c r="CW6" s="292">
        <v>1</v>
      </c>
      <c r="CX6" s="292">
        <v>1350</v>
      </c>
      <c r="CY6" s="292">
        <v>30</v>
      </c>
      <c r="CZ6" s="292">
        <v>46</v>
      </c>
      <c r="DA6" s="292">
        <v>7</v>
      </c>
      <c r="DB6" s="292">
        <v>30</v>
      </c>
      <c r="DC6" s="292">
        <v>0</v>
      </c>
      <c r="DD6" s="292">
        <v>8.9</v>
      </c>
      <c r="DE6" s="292">
        <v>13.9</v>
      </c>
      <c r="DF6" s="292">
        <v>3</v>
      </c>
      <c r="DG6" s="292">
        <v>0</v>
      </c>
      <c r="DH6" s="292">
        <v>0</v>
      </c>
      <c r="DI6" s="292">
        <v>0</v>
      </c>
      <c r="DJ6" s="292">
        <v>0</v>
      </c>
      <c r="DK6" s="292">
        <v>9</v>
      </c>
      <c r="DL6" s="292">
        <v>1</v>
      </c>
      <c r="DM6" s="292">
        <v>306</v>
      </c>
      <c r="DN6" s="292">
        <v>133</v>
      </c>
      <c r="DO6" s="292" t="s">
        <v>1136</v>
      </c>
      <c r="DP6" s="292">
        <v>0</v>
      </c>
      <c r="DQ6" s="292">
        <v>1</v>
      </c>
      <c r="DR6" s="292">
        <v>2</v>
      </c>
      <c r="DS6" s="292">
        <v>0</v>
      </c>
      <c r="DT6" s="292">
        <v>0</v>
      </c>
      <c r="DU6" s="292">
        <v>2</v>
      </c>
      <c r="DV6" s="292">
        <v>0</v>
      </c>
      <c r="DW6" s="297">
        <v>6.64</v>
      </c>
    </row>
    <row r="7" spans="1:127" ht="24.95" customHeight="1" thickBot="1" x14ac:dyDescent="0.3">
      <c r="A7" s="29" t="str">
        <f t="shared" si="0"/>
        <v>6º</v>
      </c>
      <c r="B7" s="69" t="str">
        <f>CQ7</f>
        <v>Jaílson</v>
      </c>
      <c r="C7" s="265" t="str">
        <f>CN7</f>
        <v>BRA</v>
      </c>
      <c r="D7" s="99" t="str">
        <f>CS7</f>
        <v>Somente Pé Direito</v>
      </c>
      <c r="E7" s="28" t="str">
        <f>CO7</f>
        <v>São José (SP)</v>
      </c>
      <c r="F7" s="167">
        <f>CP7</f>
        <v>44</v>
      </c>
      <c r="G7" s="2" t="str">
        <f>CR7</f>
        <v>€1m - €2m</v>
      </c>
      <c r="H7" s="152">
        <f>IFERROR(SUBSTITUTE(CU7," cm","")/100,0)</f>
        <v>1.87</v>
      </c>
      <c r="I7" s="64">
        <f>IF(CV7="-", "Sem Data Final", CV7)</f>
        <v>46387</v>
      </c>
      <c r="J7" s="300" t="str">
        <f>IFERROR(CT7,0)</f>
        <v>€4,8m p/m</v>
      </c>
      <c r="K7" s="96">
        <f>IFERROR(AVERAGE(L:L),0)</f>
        <v>14.095555555555555</v>
      </c>
      <c r="L7" s="144">
        <f>IFERROR(CX7/90,0)</f>
        <v>6.9555555555555557</v>
      </c>
      <c r="M7" s="6">
        <f>CW7</f>
        <v>0</v>
      </c>
      <c r="N7" s="5">
        <f>IFERROR((CX7/M7),5400)</f>
        <v>5400</v>
      </c>
      <c r="O7" s="21">
        <f>IFERROR((M7*1)/L7,0)</f>
        <v>0</v>
      </c>
      <c r="P7" s="2">
        <f>DM7</f>
        <v>174</v>
      </c>
      <c r="Q7" s="2">
        <f>DN7</f>
        <v>169</v>
      </c>
      <c r="R7" s="5">
        <f>IFERROR((Q7/L7),0)</f>
        <v>24.297124600638977</v>
      </c>
      <c r="S7" s="2">
        <f>IFERROR(P7-Q7,0)</f>
        <v>5</v>
      </c>
      <c r="T7" s="5">
        <f>S7/L7</f>
        <v>0.71884984025559107</v>
      </c>
      <c r="U7" s="102">
        <f>IFERROR(((P7-Q7)*1)/P7,0)</f>
        <v>2.8735632183908046E-2</v>
      </c>
      <c r="V7" s="102">
        <f>IFERROR((Q7*1)/P7,0)</f>
        <v>0.97126436781609193</v>
      </c>
      <c r="W7" s="2">
        <f>IFERROR(Q7-S7,0)</f>
        <v>164</v>
      </c>
      <c r="X7" s="6">
        <f>DM7-DK7</f>
        <v>171</v>
      </c>
      <c r="Y7" s="5">
        <f>IFERROR(X7/L7,0)</f>
        <v>24.584664536741215</v>
      </c>
      <c r="Z7" s="6">
        <f>DK7</f>
        <v>3</v>
      </c>
      <c r="AA7" s="5">
        <f>Z7/L7</f>
        <v>0.43130990415335463</v>
      </c>
      <c r="AB7" s="21">
        <f>IFERROR(Z7/X7,0)</f>
        <v>1.7543859649122806E-2</v>
      </c>
      <c r="AC7" s="6">
        <f>DL7</f>
        <v>0</v>
      </c>
      <c r="AD7" s="5">
        <f>AC7/L7</f>
        <v>0</v>
      </c>
      <c r="AE7" s="366">
        <f>CZ7</f>
        <v>15</v>
      </c>
      <c r="AF7" s="367">
        <f>IFERROR(AE7/L7,0)</f>
        <v>2.1565495207667733</v>
      </c>
      <c r="AG7" s="21">
        <f>IFERROR((AE7*1)/AQ7,0)</f>
        <v>0.46875</v>
      </c>
      <c r="AH7" s="366">
        <f>DA7</f>
        <v>6</v>
      </c>
      <c r="AI7" s="367">
        <f>IFERROR(AH7/L7,0)</f>
        <v>0.86261980830670926</v>
      </c>
      <c r="AJ7" s="21">
        <f>IFERROR((AH7*1)/AQ7,0)</f>
        <v>0.1875</v>
      </c>
      <c r="AK7" s="366">
        <f>DB7</f>
        <v>11</v>
      </c>
      <c r="AL7" s="367">
        <f>IFERROR(AK7/R7,0)</f>
        <v>0.45272846811308354</v>
      </c>
      <c r="AM7" s="21">
        <f>IFERROR((AK7*1)/AQ7,0)</f>
        <v>0.34375</v>
      </c>
      <c r="AN7" s="21">
        <f>IFERROR((AO7*1)/L7,0)</f>
        <v>0.14376996805111822</v>
      </c>
      <c r="AO7" s="6">
        <f>DF7</f>
        <v>1</v>
      </c>
      <c r="AP7" s="5">
        <f>IFERROR(AO7/L7,0)</f>
        <v>0.14376996805111822</v>
      </c>
      <c r="AQ7" s="6">
        <f>IFERROR(CZ7+DA7+DB7,0)</f>
        <v>32</v>
      </c>
      <c r="AR7" s="5">
        <f>IFERROR(AQ7/L7,0)</f>
        <v>4.600638977635783</v>
      </c>
      <c r="AS7" s="2">
        <f>IFERROR((DA7+DB7+CZ7+CY7),0)</f>
        <v>45</v>
      </c>
      <c r="AT7" s="5">
        <f>IFERROR(AS7/L7,0)</f>
        <v>6.4696485623003195</v>
      </c>
      <c r="AU7" s="21">
        <f>IFERROR(AQ7/AS7,0)</f>
        <v>0.71111111111111114</v>
      </c>
      <c r="AV7" s="20">
        <f>IFERROR(((DA7+DB7+BJ7)*1)/(AS7-CZ7),0)</f>
        <v>0.56666666666666665</v>
      </c>
      <c r="AW7" s="20">
        <f>IFERROR((BO7*1)/AT7,1)</f>
        <v>0.28888888888888886</v>
      </c>
      <c r="AX7" s="196">
        <f>IFERROR((AH7*2+AK7*1.5+AE7*1)/AS7,0)</f>
        <v>0.96666666666666667</v>
      </c>
      <c r="AY7" s="24">
        <f>IFERROR(CX7/CY7,0)</f>
        <v>48.153846153846153</v>
      </c>
      <c r="AZ7" s="5">
        <f>IFERROR((CY7+CZ7+DA7+DB7)/CY7,0)</f>
        <v>3.4615384615384617</v>
      </c>
      <c r="BA7" s="5">
        <f>IFERROR((CY7+DA7+DB7)/CY7,0)</f>
        <v>2.3076923076923075</v>
      </c>
      <c r="BB7" s="5">
        <f>IF(DO7="-","Sem Dados",VALUE(SUBSTITUTE(DO7,".",","))
)</f>
        <v>-3.05</v>
      </c>
      <c r="BC7" s="5">
        <f>IFERROR(BB7/L7,0)</f>
        <v>-0.43849840255591049</v>
      </c>
      <c r="BD7" s="5">
        <f>IFERROR(BB7-(BJ7*0.79),-100)</f>
        <v>-3.05</v>
      </c>
      <c r="BE7" s="5">
        <f>IFERROR(BD7/L7,0)</f>
        <v>-0.43849840255591049</v>
      </c>
      <c r="BF7" s="196">
        <f>IFERROR(BC7/AP7,BC7)</f>
        <v>-3.0499999999999994</v>
      </c>
      <c r="BG7" s="21">
        <f>IFERROR(BB7/(BB7+CY7),0)</f>
        <v>-0.30653266331658291</v>
      </c>
      <c r="BH7" s="6">
        <f>DU7</f>
        <v>0</v>
      </c>
      <c r="BI7" s="5">
        <f>BH7/L7</f>
        <v>0</v>
      </c>
      <c r="BJ7" s="6">
        <f>DV7</f>
        <v>0</v>
      </c>
      <c r="BK7" s="5">
        <f>BJ7/L7</f>
        <v>0</v>
      </c>
      <c r="BL7" s="20">
        <f>IFERROR((DV7*1)/DU7,-0.000000000001)</f>
        <v>-9.9999999999999998E-13</v>
      </c>
      <c r="BM7" s="20">
        <f>IFERROR((CY7*1)/SUM(CY:CY),0)</f>
        <v>6.1904761904761907E-2</v>
      </c>
      <c r="BN7" s="6">
        <f>CY7</f>
        <v>13</v>
      </c>
      <c r="BO7" s="5">
        <f>IFERROR(BN7/L7,0)</f>
        <v>1.8690095846645367</v>
      </c>
      <c r="BP7" s="314">
        <f>DQ7</f>
        <v>0</v>
      </c>
      <c r="BQ7" s="315">
        <f>IFERROR(BP7/L7,0)</f>
        <v>0</v>
      </c>
      <c r="BR7" s="6">
        <f>IFERROR(BS7*L7,0)</f>
        <v>66.773333333333326</v>
      </c>
      <c r="BS7" s="5">
        <f>DD7</f>
        <v>9.6</v>
      </c>
      <c r="BT7" s="6">
        <f>IFERROR(BU7*L7,0)</f>
        <v>8.3466666666666658</v>
      </c>
      <c r="BU7" s="5">
        <f>DE7</f>
        <v>1.2</v>
      </c>
      <c r="BV7" s="178">
        <f>IFERROR((DC7+DR7+(DT7*2.5)+DG7+DQ7),0)</f>
        <v>0</v>
      </c>
      <c r="BW7" s="152">
        <f>IFERROR(BV7/L7,0)</f>
        <v>0</v>
      </c>
      <c r="BX7" s="178">
        <f>IFERROR((DP7+DS7+(DT7*2.5)),0)</f>
        <v>0</v>
      </c>
      <c r="BY7" s="177">
        <f>IFERROR(BX7/L7,0)</f>
        <v>0</v>
      </c>
      <c r="BZ7" s="178">
        <f>IFERROR((DC7-DP7)+(DR7-DS7)+(DT7*2.5)+(DG7),0)</f>
        <v>0</v>
      </c>
      <c r="CA7" s="152">
        <f>IFERROR(BZ7/L7,0)</f>
        <v>0</v>
      </c>
      <c r="CB7" s="179">
        <f>IFERROR((BX7*1)/BV7,0)</f>
        <v>0</v>
      </c>
      <c r="CC7" s="2">
        <f>DG7</f>
        <v>0</v>
      </c>
      <c r="CD7" s="2">
        <f>DH7</f>
        <v>0</v>
      </c>
      <c r="CE7" s="2">
        <f>IFERROR(CC7+CD7,0)</f>
        <v>0</v>
      </c>
      <c r="CF7" s="2">
        <f>DJ7</f>
        <v>0</v>
      </c>
      <c r="CG7" s="6">
        <f>DI7</f>
        <v>0</v>
      </c>
      <c r="CH7" s="6">
        <f>IFERROR(CZ7+CY7+DA7+DB7+DU7+DM7+DG7+(DE7*1.33)+(DF7*2)+(DQ7*2.5)+DR7+DC7,0)</f>
        <v>222.596</v>
      </c>
      <c r="CI7" s="6">
        <f>IFERROR(CZ7+DA7+DB7+DV7+DN7+DS7+DP7,0)</f>
        <v>201</v>
      </c>
      <c r="CJ7" s="20">
        <f>IFERROR((CI7*1)/CH7,0)</f>
        <v>0.90298118564574381</v>
      </c>
      <c r="CK7" s="131">
        <f>SUM(AS:AS)</f>
        <v>892</v>
      </c>
      <c r="CL7" s="5">
        <f>IFERROR(VALUE(SUBSTITUTE(DW7, ".", ",")),0)</f>
        <v>6.69</v>
      </c>
      <c r="CM7" s="296"/>
      <c r="CN7" s="292" t="s">
        <v>13</v>
      </c>
      <c r="CO7" s="292" t="s">
        <v>801</v>
      </c>
      <c r="CP7" s="292">
        <v>44</v>
      </c>
      <c r="CQ7" s="292" t="s">
        <v>1140</v>
      </c>
      <c r="CR7" s="292" t="s">
        <v>1141</v>
      </c>
      <c r="CS7" s="292" t="s">
        <v>602</v>
      </c>
      <c r="CT7" s="292" t="s">
        <v>1142</v>
      </c>
      <c r="CU7" s="292" t="s">
        <v>630</v>
      </c>
      <c r="CV7" s="293">
        <v>46387</v>
      </c>
      <c r="CW7" s="292">
        <v>0</v>
      </c>
      <c r="CX7" s="292">
        <v>626</v>
      </c>
      <c r="CY7" s="292">
        <v>13</v>
      </c>
      <c r="CZ7" s="292">
        <v>15</v>
      </c>
      <c r="DA7" s="292">
        <v>6</v>
      </c>
      <c r="DB7" s="292">
        <v>11</v>
      </c>
      <c r="DC7" s="292">
        <v>0</v>
      </c>
      <c r="DD7" s="292">
        <v>9.6</v>
      </c>
      <c r="DE7" s="292">
        <v>1.2</v>
      </c>
      <c r="DF7" s="292">
        <v>1</v>
      </c>
      <c r="DG7" s="292">
        <v>0</v>
      </c>
      <c r="DH7" s="292">
        <v>0</v>
      </c>
      <c r="DI7" s="292">
        <v>0</v>
      </c>
      <c r="DJ7" s="292">
        <v>0</v>
      </c>
      <c r="DK7" s="292">
        <v>3</v>
      </c>
      <c r="DL7" s="292">
        <v>0</v>
      </c>
      <c r="DM7" s="292">
        <v>174</v>
      </c>
      <c r="DN7" s="292">
        <v>169</v>
      </c>
      <c r="DO7" s="292" t="s">
        <v>1143</v>
      </c>
      <c r="DP7" s="292">
        <v>0</v>
      </c>
      <c r="DQ7" s="292">
        <v>0</v>
      </c>
      <c r="DR7" s="292">
        <v>0</v>
      </c>
      <c r="DS7" s="292">
        <v>0</v>
      </c>
      <c r="DT7" s="292">
        <v>0</v>
      </c>
      <c r="DU7" s="292">
        <v>0</v>
      </c>
      <c r="DV7" s="292">
        <v>0</v>
      </c>
      <c r="DW7" s="297">
        <v>6.69</v>
      </c>
    </row>
    <row r="8" spans="1:127" ht="24.95" customHeight="1" thickBot="1" x14ac:dyDescent="0.3">
      <c r="A8" s="29" t="str">
        <f t="shared" si="0"/>
        <v>7º</v>
      </c>
      <c r="B8" s="69" t="str">
        <f>CQ8</f>
        <v>Passarelli</v>
      </c>
      <c r="C8" s="265" t="str">
        <f>CN8</f>
        <v>BRA</v>
      </c>
      <c r="D8" s="99" t="str">
        <f>CS8</f>
        <v>Somente Pé Direito</v>
      </c>
      <c r="E8" s="28" t="str">
        <f>CO8</f>
        <v>Juventus (SP)</v>
      </c>
      <c r="F8" s="167">
        <f>CP8</f>
        <v>29</v>
      </c>
      <c r="G8" s="2">
        <f>CR8</f>
        <v>0</v>
      </c>
      <c r="H8" s="152">
        <f>IFERROR(SUBSTITUTE(CU8," cm","")/100,0)</f>
        <v>1.9</v>
      </c>
      <c r="I8" s="64">
        <f>IF(CV8="-", "Sem Data Final", CV8)</f>
        <v>46326</v>
      </c>
      <c r="J8" s="300" t="str">
        <f>IFERROR(CT8,0)</f>
        <v>€1,2m p/m</v>
      </c>
      <c r="K8" s="96">
        <f>IFERROR(AVERAGE(L:L),0)</f>
        <v>14.095555555555555</v>
      </c>
      <c r="L8" s="144">
        <f>IFERROR(CX8/90,0)</f>
        <v>9</v>
      </c>
      <c r="M8" s="6">
        <f>CW8</f>
        <v>1</v>
      </c>
      <c r="N8" s="5">
        <f>IFERROR((CX8/M8),5400)</f>
        <v>810</v>
      </c>
      <c r="O8" s="21">
        <f>IFERROR((M8*1)/L8,0)</f>
        <v>0.1111111111111111</v>
      </c>
      <c r="P8" s="2">
        <f>DM8</f>
        <v>229</v>
      </c>
      <c r="Q8" s="2">
        <f>DN8</f>
        <v>190</v>
      </c>
      <c r="R8" s="5">
        <f>IFERROR((Q8/L8),0)</f>
        <v>21.111111111111111</v>
      </c>
      <c r="S8" s="2">
        <f>IFERROR(P8-Q8,0)</f>
        <v>39</v>
      </c>
      <c r="T8" s="5">
        <f>S8/L8</f>
        <v>4.333333333333333</v>
      </c>
      <c r="U8" s="102">
        <f>IFERROR(((P8-Q8)*1)/P8,0)</f>
        <v>0.1703056768558952</v>
      </c>
      <c r="V8" s="102">
        <f>IFERROR((Q8*1)/P8,0)</f>
        <v>0.82969432314410485</v>
      </c>
      <c r="W8" s="2">
        <f>IFERROR(Q8-S8,0)</f>
        <v>151</v>
      </c>
      <c r="X8" s="6">
        <f>DM8-DK8</f>
        <v>223</v>
      </c>
      <c r="Y8" s="5">
        <f>IFERROR(X8/L8,0)</f>
        <v>24.777777777777779</v>
      </c>
      <c r="Z8" s="6">
        <f>DK8</f>
        <v>6</v>
      </c>
      <c r="AA8" s="5">
        <f>Z8/L8</f>
        <v>0.66666666666666663</v>
      </c>
      <c r="AB8" s="21">
        <f>IFERROR(Z8/X8,0)</f>
        <v>2.6905829596412557E-2</v>
      </c>
      <c r="AC8" s="6">
        <f>DL8</f>
        <v>0</v>
      </c>
      <c r="AD8" s="5">
        <f>AC8/L8</f>
        <v>0</v>
      </c>
      <c r="AE8" s="366">
        <f>CZ8</f>
        <v>10</v>
      </c>
      <c r="AF8" s="367">
        <f>IFERROR(AE8/L8,0)</f>
        <v>1.1111111111111112</v>
      </c>
      <c r="AG8" s="21">
        <f>IFERROR((AE8*1)/AQ8,0)</f>
        <v>0.4</v>
      </c>
      <c r="AH8" s="366">
        <f>DA8</f>
        <v>7</v>
      </c>
      <c r="AI8" s="367">
        <f>IFERROR(AH8/L8,0)</f>
        <v>0.77777777777777779</v>
      </c>
      <c r="AJ8" s="21">
        <f>IFERROR((AH8*1)/AQ8,0)</f>
        <v>0.28000000000000003</v>
      </c>
      <c r="AK8" s="366">
        <f>DB8</f>
        <v>8</v>
      </c>
      <c r="AL8" s="367">
        <f>IFERROR(AK8/R8,0)</f>
        <v>0.37894736842105264</v>
      </c>
      <c r="AM8" s="21">
        <f>IFERROR((AK8*1)/AQ8,0)</f>
        <v>0.32</v>
      </c>
      <c r="AN8" s="21">
        <f>IFERROR((AO8*1)/L8,0)</f>
        <v>0.33333333333333331</v>
      </c>
      <c r="AO8" s="6">
        <f>DF8</f>
        <v>3</v>
      </c>
      <c r="AP8" s="5">
        <f>IFERROR(AO8/L8,0)</f>
        <v>0.33333333333333331</v>
      </c>
      <c r="AQ8" s="6">
        <f>IFERROR(CZ8+DA8+DB8,0)</f>
        <v>25</v>
      </c>
      <c r="AR8" s="5">
        <f>IFERROR(AQ8/L8,0)</f>
        <v>2.7777777777777777</v>
      </c>
      <c r="AS8" s="2">
        <f>IFERROR((DA8+DB8+CZ8+CY8),0)</f>
        <v>34</v>
      </c>
      <c r="AT8" s="5">
        <f>IFERROR(AS8/L8,0)</f>
        <v>3.7777777777777777</v>
      </c>
      <c r="AU8" s="21">
        <f>IFERROR(AQ8/AS8,0)</f>
        <v>0.73529411764705888</v>
      </c>
      <c r="AV8" s="20">
        <f>IFERROR(((DA8+DB8+BJ8)*1)/(AS8-CZ8),0)</f>
        <v>0.625</v>
      </c>
      <c r="AW8" s="20">
        <f>IFERROR((BO8*1)/AT8,1)</f>
        <v>0.26470588235294118</v>
      </c>
      <c r="AX8" s="196">
        <f>IFERROR((AH8*2+AK8*1.5+AE8*1)/AS8,0)</f>
        <v>1.0588235294117647</v>
      </c>
      <c r="AY8" s="24">
        <f>IFERROR(CX8/CY8,0)</f>
        <v>90</v>
      </c>
      <c r="AZ8" s="5">
        <f>IFERROR((CY8+CZ8+DA8+DB8)/CY8,0)</f>
        <v>3.7777777777777777</v>
      </c>
      <c r="BA8" s="5">
        <f>IFERROR((CY8+DA8+DB8)/CY8,0)</f>
        <v>2.6666666666666665</v>
      </c>
      <c r="BB8" s="5">
        <f>IF(DO8="-","Sem Dados",VALUE(SUBSTITUTE(DO8,".",","))
)</f>
        <v>-1.17</v>
      </c>
      <c r="BC8" s="5">
        <f>IFERROR(BB8/L8,0)</f>
        <v>-0.13</v>
      </c>
      <c r="BD8" s="5">
        <f>IFERROR(BB8-(BJ8*0.79),-100)</f>
        <v>-1.17</v>
      </c>
      <c r="BE8" s="5">
        <f>IFERROR(BD8/L8,0)</f>
        <v>-0.13</v>
      </c>
      <c r="BF8" s="196">
        <f>IFERROR(BC8/AP8,BC8)</f>
        <v>-0.39</v>
      </c>
      <c r="BG8" s="21">
        <f>IFERROR(BB8/(BB8+CY8),0)</f>
        <v>-0.14942528735632182</v>
      </c>
      <c r="BH8" s="6">
        <f>DU8</f>
        <v>0</v>
      </c>
      <c r="BI8" s="5">
        <f>BH8/L8</f>
        <v>0</v>
      </c>
      <c r="BJ8" s="6">
        <f>DV8</f>
        <v>0</v>
      </c>
      <c r="BK8" s="5">
        <f>BJ8/L8</f>
        <v>0</v>
      </c>
      <c r="BL8" s="20">
        <f>IFERROR((DV8*1)/DU8,-0.000000000001)</f>
        <v>-9.9999999999999998E-13</v>
      </c>
      <c r="BM8" s="20">
        <f>IFERROR((CY8*1)/SUM(CY:CY),0)</f>
        <v>4.2857142857142858E-2</v>
      </c>
      <c r="BN8" s="6">
        <f>CY8</f>
        <v>9</v>
      </c>
      <c r="BO8" s="5">
        <f>IFERROR(BN8/L8,0)</f>
        <v>1</v>
      </c>
      <c r="BP8" s="314">
        <f>DQ8</f>
        <v>1</v>
      </c>
      <c r="BQ8" s="315">
        <f>IFERROR(BP8/L8,0)</f>
        <v>0.1111111111111111</v>
      </c>
      <c r="BR8" s="6">
        <f>IFERROR(BS8*L8,0)</f>
        <v>91.8</v>
      </c>
      <c r="BS8" s="5">
        <f>DD8</f>
        <v>10.199999999999999</v>
      </c>
      <c r="BT8" s="6">
        <f>IFERROR(BU8*L8,0)</f>
        <v>54.9</v>
      </c>
      <c r="BU8" s="5">
        <f>DE8</f>
        <v>6.1</v>
      </c>
      <c r="BV8" s="178">
        <f>IFERROR((DC8+DR8+(DT8*2.5)+DG8+DQ8),0)</f>
        <v>1</v>
      </c>
      <c r="BW8" s="152">
        <f>IFERROR(BV8/L8,0)</f>
        <v>0.1111111111111111</v>
      </c>
      <c r="BX8" s="178">
        <f>IFERROR((DP8+DS8+(DT8*2.5)),0)</f>
        <v>0</v>
      </c>
      <c r="BY8" s="177">
        <f>IFERROR(BX8/L8,0)</f>
        <v>0</v>
      </c>
      <c r="BZ8" s="178">
        <f>IFERROR((DC8-DP8)+(DR8-DS8)+(DT8*2.5)+(DG8),0)</f>
        <v>0</v>
      </c>
      <c r="CA8" s="152">
        <f>IFERROR(BZ8/L8,0)</f>
        <v>0</v>
      </c>
      <c r="CB8" s="179">
        <f>IFERROR((BX8*1)/BV8,0)</f>
        <v>0</v>
      </c>
      <c r="CC8" s="2">
        <f>DG8</f>
        <v>0</v>
      </c>
      <c r="CD8" s="2">
        <f>DH8</f>
        <v>0</v>
      </c>
      <c r="CE8" s="2">
        <f>IFERROR(CC8+CD8,0)</f>
        <v>0</v>
      </c>
      <c r="CF8" s="2">
        <f>DJ8</f>
        <v>0</v>
      </c>
      <c r="CG8" s="6">
        <f>DI8</f>
        <v>0</v>
      </c>
      <c r="CH8" s="6">
        <f>IFERROR(CZ8+CY8+DA8+DB8+DU8+DM8+DG8+(DE8*1.33)+(DF8*2)+(DQ8*2.5)+DR8+DC8,0)</f>
        <v>279.613</v>
      </c>
      <c r="CI8" s="6">
        <f>IFERROR(CZ8+DA8+DB8+DV8+DN8+DS8+DP8,0)</f>
        <v>215</v>
      </c>
      <c r="CJ8" s="20">
        <f>IFERROR((CI8*1)/CH8,0)</f>
        <v>0.76891990000464927</v>
      </c>
      <c r="CK8" s="131">
        <f>SUM(AS:AS)</f>
        <v>892</v>
      </c>
      <c r="CL8" s="5">
        <f>IFERROR(VALUE(SUBSTITUTE(DW8, ".", ",")),0)</f>
        <v>7.02</v>
      </c>
      <c r="CM8" s="298"/>
      <c r="CN8" s="294" t="s">
        <v>13</v>
      </c>
      <c r="CO8" s="294" t="s">
        <v>1137</v>
      </c>
      <c r="CP8" s="294">
        <v>29</v>
      </c>
      <c r="CQ8" s="294" t="s">
        <v>1138</v>
      </c>
      <c r="CR8" s="392">
        <v>0</v>
      </c>
      <c r="CS8" s="294" t="s">
        <v>602</v>
      </c>
      <c r="CT8" s="294" t="s">
        <v>855</v>
      </c>
      <c r="CU8" s="294" t="s">
        <v>639</v>
      </c>
      <c r="CV8" s="295">
        <v>46326</v>
      </c>
      <c r="CW8" s="294">
        <v>1</v>
      </c>
      <c r="CX8" s="294">
        <v>810</v>
      </c>
      <c r="CY8" s="294">
        <v>9</v>
      </c>
      <c r="CZ8" s="294">
        <v>10</v>
      </c>
      <c r="DA8" s="294">
        <v>7</v>
      </c>
      <c r="DB8" s="294">
        <v>8</v>
      </c>
      <c r="DC8" s="294">
        <v>0</v>
      </c>
      <c r="DD8" s="294">
        <v>10.199999999999999</v>
      </c>
      <c r="DE8" s="294">
        <v>6.1</v>
      </c>
      <c r="DF8" s="294">
        <v>3</v>
      </c>
      <c r="DG8" s="294">
        <v>0</v>
      </c>
      <c r="DH8" s="294">
        <v>0</v>
      </c>
      <c r="DI8" s="294">
        <v>0</v>
      </c>
      <c r="DJ8" s="294">
        <v>0</v>
      </c>
      <c r="DK8" s="294">
        <v>6</v>
      </c>
      <c r="DL8" s="294">
        <v>0</v>
      </c>
      <c r="DM8" s="294">
        <v>229</v>
      </c>
      <c r="DN8" s="294">
        <v>190</v>
      </c>
      <c r="DO8" s="294" t="s">
        <v>1139</v>
      </c>
      <c r="DP8" s="294">
        <v>0</v>
      </c>
      <c r="DQ8" s="294">
        <v>1</v>
      </c>
      <c r="DR8" s="294">
        <v>0</v>
      </c>
      <c r="DS8" s="294">
        <v>0</v>
      </c>
      <c r="DT8" s="294">
        <v>0</v>
      </c>
      <c r="DU8" s="294">
        <v>0</v>
      </c>
      <c r="DV8" s="294">
        <v>0</v>
      </c>
      <c r="DW8" s="299">
        <v>7.02</v>
      </c>
    </row>
    <row r="9" spans="1:127" ht="24.95" customHeight="1" thickBot="1" x14ac:dyDescent="0.3">
      <c r="A9" s="29" t="str">
        <f t="shared" si="0"/>
        <v>8º</v>
      </c>
      <c r="B9" s="69" t="str">
        <f>CQ9</f>
        <v>Pegorari</v>
      </c>
      <c r="C9" s="265" t="str">
        <f>CN9</f>
        <v>BRA</v>
      </c>
      <c r="D9" s="99" t="str">
        <f>CS9</f>
        <v>Somente Pé Direito</v>
      </c>
      <c r="E9" s="28" t="str">
        <f>CO9</f>
        <v>Grêmio Prudente</v>
      </c>
      <c r="F9" s="167">
        <f>CP9</f>
        <v>34</v>
      </c>
      <c r="G9" s="2" t="str">
        <f>CR9</f>
        <v>Não está à venda</v>
      </c>
      <c r="H9" s="152">
        <f>IFERROR(SUBSTITUTE(CU9," cm","")/100,0)</f>
        <v>1.91</v>
      </c>
      <c r="I9" s="64">
        <f>IF(CV9="-", "Sem Data Final", CV9)</f>
        <v>46538</v>
      </c>
      <c r="J9" s="300" t="str">
        <f>IFERROR(CT9,0)</f>
        <v>€9,5m p/m</v>
      </c>
      <c r="K9" s="96">
        <f>IFERROR(AVERAGE(L:L),0)</f>
        <v>14.095555555555555</v>
      </c>
      <c r="L9" s="144">
        <f>IFERROR(CX9/90,0)</f>
        <v>15</v>
      </c>
      <c r="M9" s="6">
        <f>CW9</f>
        <v>1</v>
      </c>
      <c r="N9" s="5">
        <f>IFERROR((CX9/M9),5400)</f>
        <v>1350</v>
      </c>
      <c r="O9" s="21">
        <f>IFERROR((M9*1)/L9,0)</f>
        <v>6.6666666666666666E-2</v>
      </c>
      <c r="P9" s="2">
        <f>DM9</f>
        <v>397</v>
      </c>
      <c r="Q9" s="2">
        <f>DN9</f>
        <v>351</v>
      </c>
      <c r="R9" s="5">
        <f>IFERROR((Q9/L9),0)</f>
        <v>23.4</v>
      </c>
      <c r="S9" s="2">
        <f>IFERROR(P9-Q9,0)</f>
        <v>46</v>
      </c>
      <c r="T9" s="5">
        <f>S9/L9</f>
        <v>3.0666666666666669</v>
      </c>
      <c r="U9" s="102">
        <f>IFERROR(((P9-Q9)*1)/P9,0)</f>
        <v>0.11586901763224182</v>
      </c>
      <c r="V9" s="102">
        <f>IFERROR((Q9*1)/P9,0)</f>
        <v>0.88413098236775822</v>
      </c>
      <c r="W9" s="2">
        <f>IFERROR(Q9-S9,0)</f>
        <v>305</v>
      </c>
      <c r="X9" s="6">
        <f>DM9-DK9</f>
        <v>383</v>
      </c>
      <c r="Y9" s="5">
        <f>IFERROR(X9/L9,0)</f>
        <v>25.533333333333335</v>
      </c>
      <c r="Z9" s="6">
        <f>DK9</f>
        <v>14</v>
      </c>
      <c r="AA9" s="5">
        <f>Z9/L9</f>
        <v>0.93333333333333335</v>
      </c>
      <c r="AB9" s="21">
        <f>IFERROR(Z9/X9,0)</f>
        <v>3.6553524804177548E-2</v>
      </c>
      <c r="AC9" s="6">
        <f>DL9</f>
        <v>0</v>
      </c>
      <c r="AD9" s="5">
        <f>AC9/L9</f>
        <v>0</v>
      </c>
      <c r="AE9" s="366">
        <f>CZ9</f>
        <v>32</v>
      </c>
      <c r="AF9" s="367">
        <f>IFERROR(AE9/L9,0)</f>
        <v>2.1333333333333333</v>
      </c>
      <c r="AG9" s="21">
        <f>IFERROR((AE9*1)/AQ9,0)</f>
        <v>0.53333333333333333</v>
      </c>
      <c r="AH9" s="366">
        <f>DA9</f>
        <v>10</v>
      </c>
      <c r="AI9" s="367">
        <f>IFERROR(AH9/L9,0)</f>
        <v>0.66666666666666663</v>
      </c>
      <c r="AJ9" s="21">
        <f>IFERROR((AH9*1)/AQ9,0)</f>
        <v>0.16666666666666666</v>
      </c>
      <c r="AK9" s="366">
        <f>DB9</f>
        <v>18</v>
      </c>
      <c r="AL9" s="367">
        <f>IFERROR(AK9/R9,0)</f>
        <v>0.76923076923076927</v>
      </c>
      <c r="AM9" s="21">
        <f>IFERROR((AK9*1)/AQ9,0)</f>
        <v>0.3</v>
      </c>
      <c r="AN9" s="21">
        <f>IFERROR((AO9*1)/L9,0)</f>
        <v>0.2</v>
      </c>
      <c r="AO9" s="6">
        <f>DF9</f>
        <v>3</v>
      </c>
      <c r="AP9" s="5">
        <f>IFERROR(AO9/L9,0)</f>
        <v>0.2</v>
      </c>
      <c r="AQ9" s="6">
        <f>IFERROR(CZ9+DA9+DB9,0)</f>
        <v>60</v>
      </c>
      <c r="AR9" s="5">
        <f>IFERROR(AQ9/L9,0)</f>
        <v>4</v>
      </c>
      <c r="AS9" s="2">
        <f>IFERROR((DA9+DB9+CZ9+CY9),0)</f>
        <v>79</v>
      </c>
      <c r="AT9" s="5">
        <f>IFERROR(AS9/L9,0)</f>
        <v>5.2666666666666666</v>
      </c>
      <c r="AU9" s="21">
        <f>IFERROR(AQ9/AS9,0)</f>
        <v>0.759493670886076</v>
      </c>
      <c r="AV9" s="20">
        <f>IFERROR(((DA9+DB9+BJ9)*1)/(AS9-CZ9),0)</f>
        <v>0.5957446808510638</v>
      </c>
      <c r="AW9" s="20">
        <f>IFERROR((BO9*1)/AT9,1)</f>
        <v>0.24050632911392406</v>
      </c>
      <c r="AX9" s="196">
        <f>IFERROR((AH9*2+AK9*1.5+AE9*1)/AS9,0)</f>
        <v>1</v>
      </c>
      <c r="AY9" s="24">
        <f>IFERROR(CX9/CY9,0)</f>
        <v>71.05263157894737</v>
      </c>
      <c r="AZ9" s="5">
        <f>IFERROR((CY9+CZ9+DA9+DB9)/CY9,0)</f>
        <v>4.1578947368421053</v>
      </c>
      <c r="BA9" s="5">
        <f>IFERROR((CY9+DA9+DB9)/CY9,0)</f>
        <v>2.4736842105263159</v>
      </c>
      <c r="BB9" s="5">
        <f>IF(DO9="-","Sem Dados",VALUE(SUBSTITUTE(DO9,".",","))
)</f>
        <v>-1.69</v>
      </c>
      <c r="BC9" s="5">
        <f>IFERROR(BB9/L9,0)</f>
        <v>-0.11266666666666666</v>
      </c>
      <c r="BD9" s="5">
        <f>IFERROR(BB9-(BJ9*0.79),-100)</f>
        <v>-1.69</v>
      </c>
      <c r="BE9" s="5">
        <f>IFERROR(BD9/L9,0)</f>
        <v>-0.11266666666666666</v>
      </c>
      <c r="BF9" s="196">
        <f>IFERROR(BC9/AP9,BC9)</f>
        <v>-0.56333333333333324</v>
      </c>
      <c r="BG9" s="21">
        <f>IFERROR(BB9/(BB9+CY9),0)</f>
        <v>-9.7631426920854997E-2</v>
      </c>
      <c r="BH9" s="6">
        <f>DU9</f>
        <v>1</v>
      </c>
      <c r="BI9" s="5">
        <f>BH9/L9</f>
        <v>6.6666666666666666E-2</v>
      </c>
      <c r="BJ9" s="6">
        <f>DV9</f>
        <v>0</v>
      </c>
      <c r="BK9" s="5">
        <f>BJ9/L9</f>
        <v>0</v>
      </c>
      <c r="BL9" s="20">
        <f>IFERROR((DV9*1)/DU9,-0.000000000001)</f>
        <v>0</v>
      </c>
      <c r="BM9" s="20">
        <f>IFERROR((CY9*1)/SUM(CY:CY),0)</f>
        <v>9.0476190476190474E-2</v>
      </c>
      <c r="BN9" s="6">
        <f>CY9</f>
        <v>19</v>
      </c>
      <c r="BO9" s="5">
        <f>IFERROR(BN9/L9,0)</f>
        <v>1.2666666666666666</v>
      </c>
      <c r="BP9" s="314">
        <f>DQ9</f>
        <v>0</v>
      </c>
      <c r="BQ9" s="315">
        <f>IFERROR(BP9/L9,0)</f>
        <v>0</v>
      </c>
      <c r="BR9" s="6">
        <f>IFERROR(BS9*L9,0)</f>
        <v>148.5</v>
      </c>
      <c r="BS9" s="5">
        <f>DD9</f>
        <v>9.9</v>
      </c>
      <c r="BT9" s="6">
        <f>IFERROR(BU9*L9,0)</f>
        <v>67.5</v>
      </c>
      <c r="BU9" s="5">
        <f>DE9</f>
        <v>4.5</v>
      </c>
      <c r="BV9" s="178">
        <f>IFERROR((DC9+DR9+(DT9*2.5)+DG9+DQ9),0)</f>
        <v>1</v>
      </c>
      <c r="BW9" s="152">
        <f>IFERROR(BV9/L9,0)</f>
        <v>6.6666666666666666E-2</v>
      </c>
      <c r="BX9" s="178">
        <f>IFERROR((DP9+DS9+(DT9*2.5)),0)</f>
        <v>0</v>
      </c>
      <c r="BY9" s="177">
        <f>IFERROR(BX9/L9,0)</f>
        <v>0</v>
      </c>
      <c r="BZ9" s="178">
        <f>IFERROR((DC9-DP9)+(DR9-DS9)+(DT9*2.5)+(DG9),0)</f>
        <v>1</v>
      </c>
      <c r="CA9" s="152">
        <f>IFERROR(BZ9/L9,0)</f>
        <v>6.6666666666666666E-2</v>
      </c>
      <c r="CB9" s="179">
        <f>IFERROR((BX9*1)/BV9,0)</f>
        <v>0</v>
      </c>
      <c r="CC9" s="2">
        <f>DG9</f>
        <v>0</v>
      </c>
      <c r="CD9" s="2">
        <f>DH9</f>
        <v>0</v>
      </c>
      <c r="CE9" s="2">
        <f>IFERROR(CC9+CD9,0)</f>
        <v>0</v>
      </c>
      <c r="CF9" s="2">
        <f>DJ9</f>
        <v>0</v>
      </c>
      <c r="CG9" s="6">
        <f>DI9</f>
        <v>0</v>
      </c>
      <c r="CH9" s="6">
        <f>IFERROR(CZ9+CY9+DA9+DB9+DU9+DM9+DG9+(DE9*1.33)+(DF9*2)+(DQ9*2.5)+DR9+DC9,0)</f>
        <v>489.98500000000001</v>
      </c>
      <c r="CI9" s="6">
        <f>IFERROR(CZ9+DA9+DB9+DV9+DN9+DS9+DP9,0)</f>
        <v>411</v>
      </c>
      <c r="CJ9" s="20">
        <f>IFERROR((CI9*1)/CH9,0)</f>
        <v>0.83880118779146295</v>
      </c>
      <c r="CK9" s="131">
        <f>SUM(AS:AS)</f>
        <v>892</v>
      </c>
      <c r="CL9" s="5">
        <f>IFERROR(VALUE(SUBSTITUTE(DW9, ".", ",")),0)</f>
        <v>6.77</v>
      </c>
      <c r="CM9" s="298"/>
      <c r="CN9" s="294" t="s">
        <v>13</v>
      </c>
      <c r="CO9" s="294" t="s">
        <v>1121</v>
      </c>
      <c r="CP9" s="294">
        <v>34</v>
      </c>
      <c r="CQ9" s="294" t="s">
        <v>1122</v>
      </c>
      <c r="CR9" s="294" t="s">
        <v>408</v>
      </c>
      <c r="CS9" s="294" t="s">
        <v>602</v>
      </c>
      <c r="CT9" s="294" t="s">
        <v>1123</v>
      </c>
      <c r="CU9" s="294" t="s">
        <v>780</v>
      </c>
      <c r="CV9" s="295">
        <v>46538</v>
      </c>
      <c r="CW9" s="294">
        <v>1</v>
      </c>
      <c r="CX9" s="294">
        <v>1350</v>
      </c>
      <c r="CY9" s="294">
        <v>19</v>
      </c>
      <c r="CZ9" s="294">
        <v>32</v>
      </c>
      <c r="DA9" s="294">
        <v>10</v>
      </c>
      <c r="DB9" s="294">
        <v>18</v>
      </c>
      <c r="DC9" s="294">
        <v>0</v>
      </c>
      <c r="DD9" s="294">
        <v>9.9</v>
      </c>
      <c r="DE9" s="294">
        <v>4.5</v>
      </c>
      <c r="DF9" s="294">
        <v>3</v>
      </c>
      <c r="DG9" s="294">
        <v>0</v>
      </c>
      <c r="DH9" s="294">
        <v>0</v>
      </c>
      <c r="DI9" s="294">
        <v>0</v>
      </c>
      <c r="DJ9" s="294">
        <v>0</v>
      </c>
      <c r="DK9" s="294">
        <v>14</v>
      </c>
      <c r="DL9" s="294">
        <v>0</v>
      </c>
      <c r="DM9" s="294">
        <v>397</v>
      </c>
      <c r="DN9" s="294">
        <v>351</v>
      </c>
      <c r="DO9" s="294" t="s">
        <v>1124</v>
      </c>
      <c r="DP9" s="294">
        <v>0</v>
      </c>
      <c r="DQ9" s="294">
        <v>0</v>
      </c>
      <c r="DR9" s="294">
        <v>1</v>
      </c>
      <c r="DS9" s="294">
        <v>0</v>
      </c>
      <c r="DT9" s="294">
        <v>0</v>
      </c>
      <c r="DU9" s="294">
        <v>1</v>
      </c>
      <c r="DV9" s="294">
        <v>0</v>
      </c>
      <c r="DW9" s="299">
        <v>6.77</v>
      </c>
    </row>
    <row r="10" spans="1:127" ht="24.95" customHeight="1" thickBot="1" x14ac:dyDescent="0.3">
      <c r="A10" s="29" t="str">
        <f t="shared" si="0"/>
        <v>9º</v>
      </c>
      <c r="B10" s="69" t="str">
        <f>CQ10</f>
        <v>Samuel Pires</v>
      </c>
      <c r="C10" s="265" t="str">
        <f>CN10</f>
        <v>BRA</v>
      </c>
      <c r="D10" s="99" t="str">
        <f>CS10</f>
        <v>Somente Pé Direito</v>
      </c>
      <c r="E10" s="28" t="str">
        <f>CO10</f>
        <v>Taubaté</v>
      </c>
      <c r="F10" s="167">
        <f>CP10</f>
        <v>37</v>
      </c>
      <c r="G10" s="2">
        <f>CR10</f>
        <v>0</v>
      </c>
      <c r="H10" s="152">
        <f>IFERROR(SUBSTITUTE(CU10," cm","")/100,0)</f>
        <v>1.87</v>
      </c>
      <c r="I10" s="64">
        <f>IF(CV10="-", "Sem Data Final", CV10)</f>
        <v>46155</v>
      </c>
      <c r="J10" s="300" t="str">
        <f>IFERROR(CT10,0)</f>
        <v>€2,3m p/m</v>
      </c>
      <c r="K10" s="96">
        <f>IFERROR(AVERAGE(L:L),0)</f>
        <v>14.095555555555555</v>
      </c>
      <c r="L10" s="144">
        <f>IFERROR(CX10/90,0)</f>
        <v>15</v>
      </c>
      <c r="M10" s="6">
        <f>CW10</f>
        <v>0</v>
      </c>
      <c r="N10" s="5">
        <f>IFERROR((CX10/M10),5400)</f>
        <v>5400</v>
      </c>
      <c r="O10" s="21">
        <f>IFERROR((M10*1)/L10,0)</f>
        <v>0</v>
      </c>
      <c r="P10" s="2">
        <f>DM10</f>
        <v>557</v>
      </c>
      <c r="Q10" s="2">
        <f>DN10</f>
        <v>455</v>
      </c>
      <c r="R10" s="5">
        <f>IFERROR((Q10/L10),0)</f>
        <v>30.333333333333332</v>
      </c>
      <c r="S10" s="2">
        <f>IFERROR(P10-Q10,0)</f>
        <v>102</v>
      </c>
      <c r="T10" s="5">
        <f>S10/L10</f>
        <v>6.8</v>
      </c>
      <c r="U10" s="102">
        <f>IFERROR(((P10-Q10)*1)/P10,0)</f>
        <v>0.18312387791741472</v>
      </c>
      <c r="V10" s="102">
        <f>IFERROR((Q10*1)/P10,0)</f>
        <v>0.81687612208258531</v>
      </c>
      <c r="W10" s="2">
        <f>IFERROR(Q10-S10,0)</f>
        <v>353</v>
      </c>
      <c r="X10" s="6">
        <f>DM10-DK10</f>
        <v>541</v>
      </c>
      <c r="Y10" s="5">
        <f>IFERROR(X10/L10,0)</f>
        <v>36.06666666666667</v>
      </c>
      <c r="Z10" s="6">
        <f>DK10</f>
        <v>16</v>
      </c>
      <c r="AA10" s="5">
        <f>Z10/L10</f>
        <v>1.0666666666666667</v>
      </c>
      <c r="AB10" s="21">
        <f>IFERROR(Z10/X10,0)</f>
        <v>2.9574861367837338E-2</v>
      </c>
      <c r="AC10" s="6">
        <f>DL10</f>
        <v>2</v>
      </c>
      <c r="AD10" s="5">
        <f>AC10/L10</f>
        <v>0.13333333333333333</v>
      </c>
      <c r="AE10" s="366">
        <f>CZ10</f>
        <v>52</v>
      </c>
      <c r="AF10" s="367">
        <f>IFERROR(AE10/L10,0)</f>
        <v>3.4666666666666668</v>
      </c>
      <c r="AG10" s="21">
        <f>IFERROR((AE10*1)/AQ10,0)</f>
        <v>0.55913978494623651</v>
      </c>
      <c r="AH10" s="366">
        <f>DA10</f>
        <v>4</v>
      </c>
      <c r="AI10" s="367">
        <f>IFERROR(AH10/L10,0)</f>
        <v>0.26666666666666666</v>
      </c>
      <c r="AJ10" s="21">
        <f>IFERROR((AH10*1)/AQ10,0)</f>
        <v>4.3010752688172046E-2</v>
      </c>
      <c r="AK10" s="366">
        <f>DB10</f>
        <v>37</v>
      </c>
      <c r="AL10" s="367">
        <f>IFERROR(AK10/R10,0)</f>
        <v>1.2197802197802199</v>
      </c>
      <c r="AM10" s="21">
        <f>IFERROR((AK10*1)/AQ10,0)</f>
        <v>0.39784946236559138</v>
      </c>
      <c r="AN10" s="21">
        <f>IFERROR((AO10*1)/L10,0)</f>
        <v>0</v>
      </c>
      <c r="AO10" s="6">
        <f>DF10</f>
        <v>0</v>
      </c>
      <c r="AP10" s="5">
        <f>IFERROR(AO10/L10,0)</f>
        <v>0</v>
      </c>
      <c r="AQ10" s="6">
        <f>IFERROR(CZ10+DA10+DB10,0)</f>
        <v>93</v>
      </c>
      <c r="AR10" s="5">
        <f>IFERROR(AQ10/L10,0)</f>
        <v>6.2</v>
      </c>
      <c r="AS10" s="2">
        <f>IFERROR((DA10+DB10+CZ10+CY10),0)</f>
        <v>121</v>
      </c>
      <c r="AT10" s="5">
        <f>IFERROR(AS10/L10,0)</f>
        <v>8.0666666666666664</v>
      </c>
      <c r="AU10" s="21">
        <f>IFERROR(AQ10/AS10,0)</f>
        <v>0.76859504132231404</v>
      </c>
      <c r="AV10" s="20">
        <f>IFERROR(((DA10+DB10+BJ10)*1)/(AS10-CZ10),0)</f>
        <v>0.59420289855072461</v>
      </c>
      <c r="AW10" s="20">
        <f>IFERROR((BO10*1)/AT10,1)</f>
        <v>0.23140495867768596</v>
      </c>
      <c r="AX10" s="196">
        <f>IFERROR((AH10*2+AK10*1.5+AE10*1)/AS10,0)</f>
        <v>0.95454545454545459</v>
      </c>
      <c r="AY10" s="24">
        <f>IFERROR(CX10/CY10,0)</f>
        <v>48.214285714285715</v>
      </c>
      <c r="AZ10" s="5">
        <f>IFERROR((CY10+CZ10+DA10+DB10)/CY10,0)</f>
        <v>4.3214285714285712</v>
      </c>
      <c r="BA10" s="5">
        <f>IFERROR((CY10+DA10+DB10)/CY10,0)</f>
        <v>2.4642857142857144</v>
      </c>
      <c r="BB10" s="5">
        <f>IF(DO10="-","Sem Dados",VALUE(SUBSTITUTE(DO10,".",","))
)</f>
        <v>-4.6100000000000003</v>
      </c>
      <c r="BC10" s="5">
        <f>IFERROR(BB10/L10,0)</f>
        <v>-0.30733333333333335</v>
      </c>
      <c r="BD10" s="5">
        <f>IFERROR(BB10-(BJ10*0.79),-100)</f>
        <v>-4.6100000000000003</v>
      </c>
      <c r="BE10" s="5">
        <f>IFERROR(BD10/L10,0)</f>
        <v>-0.30733333333333335</v>
      </c>
      <c r="BF10" s="196">
        <f>IFERROR(BC10/AP10,BC10)</f>
        <v>-0.30733333333333335</v>
      </c>
      <c r="BG10" s="21">
        <f>IFERROR(BB10/(BB10+CY10),0)</f>
        <v>-0.1970927746900385</v>
      </c>
      <c r="BH10" s="6">
        <f>DU10</f>
        <v>2</v>
      </c>
      <c r="BI10" s="5">
        <f>BH10/L10</f>
        <v>0.13333333333333333</v>
      </c>
      <c r="BJ10" s="6">
        <f>DV10</f>
        <v>0</v>
      </c>
      <c r="BK10" s="5">
        <f>BJ10/L10</f>
        <v>0</v>
      </c>
      <c r="BL10" s="20">
        <f>IFERROR((DV10*1)/DU10,-0.000000000001)</f>
        <v>0</v>
      </c>
      <c r="BM10" s="20">
        <f>IFERROR((CY10*1)/SUM(CY:CY),0)</f>
        <v>0.13333333333333333</v>
      </c>
      <c r="BN10" s="6">
        <f>CY10</f>
        <v>28</v>
      </c>
      <c r="BO10" s="5">
        <f>IFERROR(BN10/L10,0)</f>
        <v>1.8666666666666667</v>
      </c>
      <c r="BP10" s="314">
        <f>DQ10</f>
        <v>1</v>
      </c>
      <c r="BQ10" s="315">
        <f>IFERROR(BP10/L10,0)</f>
        <v>6.6666666666666666E-2</v>
      </c>
      <c r="BR10" s="6">
        <f>IFERROR(BS10*L10,0)</f>
        <v>196.5</v>
      </c>
      <c r="BS10" s="5">
        <f>DD10</f>
        <v>13.1</v>
      </c>
      <c r="BT10" s="6">
        <f>IFERROR(BU10*L10,0)</f>
        <v>124.50000000000001</v>
      </c>
      <c r="BU10" s="5">
        <f>DE10</f>
        <v>8.3000000000000007</v>
      </c>
      <c r="BV10" s="178">
        <f>IFERROR((DC10+DR10+(DT10*2.5)+DG10+DQ10),0)</f>
        <v>3</v>
      </c>
      <c r="BW10" s="152">
        <f>IFERROR(BV10/L10,0)</f>
        <v>0.2</v>
      </c>
      <c r="BX10" s="178">
        <f>IFERROR((DP10+DS10+(DT10*2.5)),0)</f>
        <v>0</v>
      </c>
      <c r="BY10" s="177">
        <f>IFERROR(BX10/L10,0)</f>
        <v>0</v>
      </c>
      <c r="BZ10" s="178">
        <f>IFERROR((DC10-DP10)+(DR10-DS10)+(DT10*2.5)+(DG10),0)</f>
        <v>2</v>
      </c>
      <c r="CA10" s="152">
        <f>IFERROR(BZ10/L10,0)</f>
        <v>0.13333333333333333</v>
      </c>
      <c r="CB10" s="179">
        <f>IFERROR((BX10*1)/BV10,0)</f>
        <v>0</v>
      </c>
      <c r="CC10" s="2">
        <f>DG10</f>
        <v>0</v>
      </c>
      <c r="CD10" s="2">
        <f>DH10</f>
        <v>0</v>
      </c>
      <c r="CE10" s="2">
        <f>IFERROR(CC10+CD10,0)</f>
        <v>0</v>
      </c>
      <c r="CF10" s="2">
        <f>DJ10</f>
        <v>0</v>
      </c>
      <c r="CG10" s="6">
        <f>DI10</f>
        <v>0</v>
      </c>
      <c r="CH10" s="6">
        <f>IFERROR(CZ10+CY10+DA10+DB10+DU10+DM10+DG10+(DE10*1.33)+(DF10*2)+(DQ10*2.5)+DR10+DC10,0)</f>
        <v>695.53899999999999</v>
      </c>
      <c r="CI10" s="6">
        <f>IFERROR(CZ10+DA10+DB10+DV10+DN10+DS10+DP10,0)</f>
        <v>548</v>
      </c>
      <c r="CJ10" s="20">
        <f>IFERROR((CI10*1)/CH10,0)</f>
        <v>0.78787817793107218</v>
      </c>
      <c r="CK10" s="131">
        <f>SUM(AS:AS)</f>
        <v>892</v>
      </c>
      <c r="CL10" s="5">
        <f>IFERROR(VALUE(SUBSTITUTE(DW10, ".", ",")),0)</f>
        <v>6.76</v>
      </c>
      <c r="CM10" s="298"/>
      <c r="CN10" s="294" t="s">
        <v>13</v>
      </c>
      <c r="CO10" s="294" t="s">
        <v>1129</v>
      </c>
      <c r="CP10" s="294">
        <v>37</v>
      </c>
      <c r="CQ10" s="294" t="s">
        <v>1130</v>
      </c>
      <c r="CR10" s="392">
        <v>0</v>
      </c>
      <c r="CS10" s="294" t="s">
        <v>602</v>
      </c>
      <c r="CT10" s="294" t="s">
        <v>810</v>
      </c>
      <c r="CU10" s="294" t="s">
        <v>630</v>
      </c>
      <c r="CV10" s="295">
        <v>46155</v>
      </c>
      <c r="CW10" s="294">
        <v>0</v>
      </c>
      <c r="CX10" s="294">
        <v>1350</v>
      </c>
      <c r="CY10" s="294">
        <v>28</v>
      </c>
      <c r="CZ10" s="294">
        <v>52</v>
      </c>
      <c r="DA10" s="294">
        <v>4</v>
      </c>
      <c r="DB10" s="294">
        <v>37</v>
      </c>
      <c r="DC10" s="294">
        <v>0</v>
      </c>
      <c r="DD10" s="294">
        <v>13.1</v>
      </c>
      <c r="DE10" s="294">
        <v>8.3000000000000007</v>
      </c>
      <c r="DF10" s="294">
        <v>0</v>
      </c>
      <c r="DG10" s="294">
        <v>0</v>
      </c>
      <c r="DH10" s="294">
        <v>0</v>
      </c>
      <c r="DI10" s="294">
        <v>0</v>
      </c>
      <c r="DJ10" s="294">
        <v>0</v>
      </c>
      <c r="DK10" s="294">
        <v>16</v>
      </c>
      <c r="DL10" s="294">
        <v>2</v>
      </c>
      <c r="DM10" s="294">
        <v>557</v>
      </c>
      <c r="DN10" s="294">
        <v>455</v>
      </c>
      <c r="DO10" s="294" t="s">
        <v>1131</v>
      </c>
      <c r="DP10" s="294">
        <v>0</v>
      </c>
      <c r="DQ10" s="294">
        <v>1</v>
      </c>
      <c r="DR10" s="294">
        <v>2</v>
      </c>
      <c r="DS10" s="294">
        <v>0</v>
      </c>
      <c r="DT10" s="294">
        <v>0</v>
      </c>
      <c r="DU10" s="294">
        <v>2</v>
      </c>
      <c r="DV10" s="294">
        <v>0</v>
      </c>
      <c r="DW10" s="299">
        <v>6.76</v>
      </c>
    </row>
    <row r="11" spans="1:127" ht="24.95" customHeight="1" thickBot="1" x14ac:dyDescent="0.3">
      <c r="A11" s="29" t="str">
        <f t="shared" si="0"/>
        <v>10º</v>
      </c>
      <c r="B11" s="69" t="str">
        <f>CQ11</f>
        <v>Vágner</v>
      </c>
      <c r="C11" s="265" t="str">
        <f>CN11</f>
        <v>BRA</v>
      </c>
      <c r="D11" s="99" t="str">
        <f>CS11</f>
        <v>Somente Pé Direito</v>
      </c>
      <c r="E11" s="28" t="str">
        <f>CO11</f>
        <v>São Bento</v>
      </c>
      <c r="F11" s="167">
        <f>CP11</f>
        <v>36</v>
      </c>
      <c r="G11" s="2">
        <f>CR11</f>
        <v>0</v>
      </c>
      <c r="H11" s="152">
        <f>IFERROR(SUBSTITUTE(CU11," cm","")/100,0)</f>
        <v>1.91</v>
      </c>
      <c r="I11" s="64">
        <f>IF(CV11="-", "Sem Data Final", CV11)</f>
        <v>46157</v>
      </c>
      <c r="J11" s="300" t="str">
        <f>IFERROR(CT11,0)</f>
        <v>€11m p/m</v>
      </c>
      <c r="K11" s="96">
        <f>IFERROR(AVERAGE(L:L),0)</f>
        <v>14.095555555555555</v>
      </c>
      <c r="L11" s="144">
        <f>IFERROR(CX11/90,0)</f>
        <v>17</v>
      </c>
      <c r="M11" s="6">
        <f>CW11</f>
        <v>2</v>
      </c>
      <c r="N11" s="5">
        <f>IFERROR((CX11/M11),5400)</f>
        <v>765</v>
      </c>
      <c r="O11" s="21">
        <f>IFERROR((M11*1)/L11,0)</f>
        <v>0.11764705882352941</v>
      </c>
      <c r="P11" s="2">
        <f>DM11</f>
        <v>479</v>
      </c>
      <c r="Q11" s="2">
        <f>DN11</f>
        <v>401</v>
      </c>
      <c r="R11" s="5">
        <f>IFERROR((Q11/L11),0)</f>
        <v>23.588235294117649</v>
      </c>
      <c r="S11" s="2">
        <f>IFERROR(P11-Q11,0)</f>
        <v>78</v>
      </c>
      <c r="T11" s="5">
        <f>S11/L11</f>
        <v>4.5882352941176467</v>
      </c>
      <c r="U11" s="102">
        <f>IFERROR(((P11-Q11)*1)/P11,0)</f>
        <v>0.162839248434238</v>
      </c>
      <c r="V11" s="102">
        <f>IFERROR((Q11*1)/P11,0)</f>
        <v>0.83716075156576197</v>
      </c>
      <c r="W11" s="2">
        <f>IFERROR(Q11-S11,0)</f>
        <v>323</v>
      </c>
      <c r="X11" s="6">
        <f>DM11-DK11</f>
        <v>463</v>
      </c>
      <c r="Y11" s="5">
        <f>IFERROR(X11/L11,0)</f>
        <v>27.235294117647058</v>
      </c>
      <c r="Z11" s="6">
        <f>DK11</f>
        <v>16</v>
      </c>
      <c r="AA11" s="5">
        <f>Z11/L11</f>
        <v>0.94117647058823528</v>
      </c>
      <c r="AB11" s="21">
        <f>IFERROR(Z11/X11,0)</f>
        <v>3.4557235421166309E-2</v>
      </c>
      <c r="AC11" s="6">
        <f>DL11</f>
        <v>0</v>
      </c>
      <c r="AD11" s="5">
        <f>AC11/L11</f>
        <v>0</v>
      </c>
      <c r="AE11" s="366">
        <f>CZ11</f>
        <v>39</v>
      </c>
      <c r="AF11" s="367">
        <f>IFERROR(AE11/L11,0)</f>
        <v>2.2941176470588234</v>
      </c>
      <c r="AG11" s="21">
        <f>IFERROR((AE11*1)/AQ11,0)</f>
        <v>0.43333333333333335</v>
      </c>
      <c r="AH11" s="366">
        <f>DA11</f>
        <v>12</v>
      </c>
      <c r="AI11" s="367">
        <f>IFERROR(AH11/L11,0)</f>
        <v>0.70588235294117652</v>
      </c>
      <c r="AJ11" s="21">
        <f>IFERROR((AH11*1)/AQ11,0)</f>
        <v>0.13333333333333333</v>
      </c>
      <c r="AK11" s="366">
        <f>DB11</f>
        <v>39</v>
      </c>
      <c r="AL11" s="367">
        <f>IFERROR(AK11/R11,0)</f>
        <v>1.6533665835411471</v>
      </c>
      <c r="AM11" s="21">
        <f>IFERROR((AK11*1)/AQ11,0)</f>
        <v>0.43333333333333335</v>
      </c>
      <c r="AN11" s="21">
        <f>IFERROR((AO11*1)/L11,0)</f>
        <v>0.29411764705882354</v>
      </c>
      <c r="AO11" s="6">
        <f>DF11</f>
        <v>5</v>
      </c>
      <c r="AP11" s="5">
        <f>IFERROR(AO11/L11,0)</f>
        <v>0.29411764705882354</v>
      </c>
      <c r="AQ11" s="6">
        <f>IFERROR(CZ11+DA11+DB11,0)</f>
        <v>90</v>
      </c>
      <c r="AR11" s="5">
        <f>IFERROR(AQ11/L11,0)</f>
        <v>5.2941176470588234</v>
      </c>
      <c r="AS11" s="2">
        <f>IFERROR((DA11+DB11+CZ11+CY11),0)</f>
        <v>108</v>
      </c>
      <c r="AT11" s="5">
        <f>IFERROR(AS11/L11,0)</f>
        <v>6.3529411764705879</v>
      </c>
      <c r="AU11" s="21">
        <f>IFERROR(AQ11/AS11,0)</f>
        <v>0.83333333333333337</v>
      </c>
      <c r="AV11" s="20">
        <f>IFERROR(((DA11+DB11+BJ11)*1)/(AS11-CZ11),0)</f>
        <v>0.75362318840579712</v>
      </c>
      <c r="AW11" s="20">
        <f>IFERROR((BO11*1)/AT11,1)</f>
        <v>0.16666666666666669</v>
      </c>
      <c r="AX11" s="196">
        <f>IFERROR((AH11*2+AK11*1.5+AE11*1)/AS11,0)</f>
        <v>1.125</v>
      </c>
      <c r="AY11" s="24">
        <f>IFERROR(CX11/CY11,0)</f>
        <v>85</v>
      </c>
      <c r="AZ11" s="5">
        <f>IFERROR((CY11+CZ11+DA11+DB11)/CY11,0)</f>
        <v>6</v>
      </c>
      <c r="BA11" s="5">
        <f>IFERROR((CY11+DA11+DB11)/CY11,0)</f>
        <v>3.8333333333333335</v>
      </c>
      <c r="BB11" s="5">
        <f>IF(DO11="-","Sem Dados",VALUE(SUBSTITUTE(DO11,".",","))
)</f>
        <v>1.54</v>
      </c>
      <c r="BC11" s="5">
        <f>IFERROR(BB11/L11,0)</f>
        <v>9.058823529411765E-2</v>
      </c>
      <c r="BD11" s="5">
        <f>IFERROR(BB11-(BJ11*0.79),-100)</f>
        <v>0.75</v>
      </c>
      <c r="BE11" s="5">
        <f>IFERROR(BD11/L11,0)</f>
        <v>4.4117647058823532E-2</v>
      </c>
      <c r="BF11" s="196">
        <f>IFERROR(BC11/AP11,BC11)</f>
        <v>0.308</v>
      </c>
      <c r="BG11" s="21">
        <f>IFERROR(BB11/(BB11+CY11),0)</f>
        <v>7.8812691914022528E-2</v>
      </c>
      <c r="BH11" s="6">
        <f>DU11</f>
        <v>2</v>
      </c>
      <c r="BI11" s="5">
        <f>BH11/L11</f>
        <v>0.11764705882352941</v>
      </c>
      <c r="BJ11" s="6">
        <f>DV11</f>
        <v>1</v>
      </c>
      <c r="BK11" s="5">
        <f>BJ11/L11</f>
        <v>5.8823529411764705E-2</v>
      </c>
      <c r="BL11" s="20">
        <f>IFERROR((DV11*1)/DU11,-0.000000000001)</f>
        <v>0.5</v>
      </c>
      <c r="BM11" s="20">
        <f>IFERROR((CY11*1)/SUM(CY:CY),0)</f>
        <v>8.5714285714285715E-2</v>
      </c>
      <c r="BN11" s="6">
        <f>CY11</f>
        <v>18</v>
      </c>
      <c r="BO11" s="5">
        <f>IFERROR(BN11/L11,0)</f>
        <v>1.0588235294117647</v>
      </c>
      <c r="BP11" s="314">
        <f>DQ11</f>
        <v>0</v>
      </c>
      <c r="BQ11" s="315">
        <f>IFERROR(BP11/L11,0)</f>
        <v>0</v>
      </c>
      <c r="BR11" s="6">
        <f>IFERROR(BS11*L11,0)</f>
        <v>212.5</v>
      </c>
      <c r="BS11" s="5">
        <f>DD11</f>
        <v>12.5</v>
      </c>
      <c r="BT11" s="6">
        <f>IFERROR(BU11*L11,0)</f>
        <v>117.30000000000001</v>
      </c>
      <c r="BU11" s="5">
        <f>DE11</f>
        <v>6.9</v>
      </c>
      <c r="BV11" s="178">
        <f>IFERROR((DC11+DR11+(DT11*2.5)+DG11+DQ11),0)</f>
        <v>2</v>
      </c>
      <c r="BW11" s="152">
        <f>IFERROR(BV11/L11,0)</f>
        <v>0.11764705882352941</v>
      </c>
      <c r="BX11" s="178">
        <f>IFERROR((DP11+DS11+(DT11*2.5)),0)</f>
        <v>1</v>
      </c>
      <c r="BY11" s="177">
        <f>IFERROR(BX11/L11,0)</f>
        <v>5.8823529411764705E-2</v>
      </c>
      <c r="BZ11" s="178">
        <f>IFERROR((DC11-DP11)+(DR11-DS11)+(DT11*2.5)+(DG11),0)</f>
        <v>1</v>
      </c>
      <c r="CA11" s="152">
        <f>IFERROR(BZ11/L11,0)</f>
        <v>5.8823529411764705E-2</v>
      </c>
      <c r="CB11" s="179">
        <f>IFERROR((BX11*1)/BV11,0)</f>
        <v>0.5</v>
      </c>
      <c r="CC11" s="2">
        <f>DG11</f>
        <v>0</v>
      </c>
      <c r="CD11" s="2">
        <f>DH11</f>
        <v>0</v>
      </c>
      <c r="CE11" s="2">
        <f>IFERROR(CC11+CD11,0)</f>
        <v>0</v>
      </c>
      <c r="CF11" s="2">
        <f>DJ11</f>
        <v>0</v>
      </c>
      <c r="CG11" s="6">
        <f>DI11</f>
        <v>0</v>
      </c>
      <c r="CH11" s="6">
        <f>IFERROR(CZ11+CY11+DA11+DB11+DU11+DM11+DG11+(DE11*1.33)+(DF11*2)+(DQ11*2.5)+DR11+DC11,0)</f>
        <v>610.17700000000002</v>
      </c>
      <c r="CI11" s="6">
        <f>IFERROR(CZ11+DA11+DB11+DV11+DN11+DS11+DP11,0)</f>
        <v>493</v>
      </c>
      <c r="CJ11" s="20">
        <f>IFERROR((CI11*1)/CH11,0)</f>
        <v>0.80796227979750135</v>
      </c>
      <c r="CK11" s="131">
        <f>SUM(AS:AS)</f>
        <v>892</v>
      </c>
      <c r="CL11" s="5">
        <f>IFERROR(VALUE(SUBSTITUTE(DW11, ".", ",")),0)</f>
        <v>7.08</v>
      </c>
      <c r="CM11" s="296"/>
      <c r="CN11" s="292" t="s">
        <v>13</v>
      </c>
      <c r="CO11" s="292" t="s">
        <v>1111</v>
      </c>
      <c r="CP11" s="292">
        <v>36</v>
      </c>
      <c r="CQ11" s="292" t="s">
        <v>1112</v>
      </c>
      <c r="CR11" s="393">
        <v>0</v>
      </c>
      <c r="CS11" s="292" t="s">
        <v>602</v>
      </c>
      <c r="CT11" s="292" t="s">
        <v>1113</v>
      </c>
      <c r="CU11" s="292" t="s">
        <v>780</v>
      </c>
      <c r="CV11" s="293">
        <v>46157</v>
      </c>
      <c r="CW11" s="292">
        <v>2</v>
      </c>
      <c r="CX11" s="292">
        <v>1530</v>
      </c>
      <c r="CY11" s="292">
        <v>18</v>
      </c>
      <c r="CZ11" s="292">
        <v>39</v>
      </c>
      <c r="DA11" s="292">
        <v>12</v>
      </c>
      <c r="DB11" s="292">
        <v>39</v>
      </c>
      <c r="DC11" s="292">
        <v>0</v>
      </c>
      <c r="DD11" s="292">
        <v>12.5</v>
      </c>
      <c r="DE11" s="292">
        <v>6.9</v>
      </c>
      <c r="DF11" s="292">
        <v>5</v>
      </c>
      <c r="DG11" s="292">
        <v>0</v>
      </c>
      <c r="DH11" s="292">
        <v>0</v>
      </c>
      <c r="DI11" s="292">
        <v>0</v>
      </c>
      <c r="DJ11" s="292">
        <v>0</v>
      </c>
      <c r="DK11" s="292">
        <v>16</v>
      </c>
      <c r="DL11" s="292">
        <v>0</v>
      </c>
      <c r="DM11" s="292">
        <v>479</v>
      </c>
      <c r="DN11" s="292">
        <v>401</v>
      </c>
      <c r="DO11" s="292" t="s">
        <v>1114</v>
      </c>
      <c r="DP11" s="292">
        <v>0</v>
      </c>
      <c r="DQ11" s="292">
        <v>0</v>
      </c>
      <c r="DR11" s="292">
        <v>2</v>
      </c>
      <c r="DS11" s="292">
        <v>1</v>
      </c>
      <c r="DT11" s="292">
        <v>0</v>
      </c>
      <c r="DU11" s="292">
        <v>2</v>
      </c>
      <c r="DV11" s="292">
        <v>1</v>
      </c>
      <c r="DW11" s="297">
        <v>7.08</v>
      </c>
    </row>
    <row r="12" spans="1:127" ht="24.95" customHeight="1" x14ac:dyDescent="0.25"/>
    <row r="13" spans="1:127" ht="24.95" customHeight="1" x14ac:dyDescent="0.25"/>
    <row r="14" spans="1:127" ht="24.95" customHeight="1" x14ac:dyDescent="0.25"/>
    <row r="15" spans="1:127" ht="24.95" customHeight="1" x14ac:dyDescent="0.25"/>
    <row r="16" spans="1:127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DW1" xr:uid="{00000000-0009-0000-0000-000000000000}">
    <sortState xmlns:xlrd2="http://schemas.microsoft.com/office/spreadsheetml/2017/richdata2" ref="B2:DW11">
      <sortCondition ref="B1"/>
    </sortState>
  </autoFilter>
  <phoneticPr fontId="53" type="noConversion"/>
  <conditionalFormatting sqref="S1:S1048576">
    <cfRule type="iconSet" priority="13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70">
      <colorScale>
        <cfvo type="min"/>
        <cfvo type="max"/>
        <color rgb="FFFCFCFF"/>
        <color rgb="FFF8696B"/>
      </colorScale>
    </cfRule>
  </conditionalFormatting>
  <conditionalFormatting sqref="U1:U1048576">
    <cfRule type="iconSet" priority="1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21">
      <colorScale>
        <cfvo type="min"/>
        <cfvo type="max"/>
        <color rgb="FFFCFCFF"/>
        <color rgb="FFF8696B"/>
      </colorScale>
    </cfRule>
  </conditionalFormatting>
  <conditionalFormatting sqref="AR1:AR1048576">
    <cfRule type="iconSet" priority="1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1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2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G1:G1048576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ntainsText" dxfId="8" priority="82" operator="containsText" text="Sem Data Final">
      <formula>NOT(ISERROR(SEARCH("Sem Data Final",I1)))</formula>
    </cfRule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iconSet" priority="1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1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7">
      <colorScale>
        <cfvo type="min"/>
        <cfvo type="percentile" val="50"/>
        <cfvo type="max"/>
        <color rgb="FFF8696B"/>
        <color theme="8" tint="0.59999389629810485"/>
        <color theme="4" tint="-0.249977111117893"/>
      </colorScale>
    </cfRule>
    <cfRule type="dataBar" priority="19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{6D537749-53AB-41C5-A1F8-D46AFC65EE80}</x14:id>
        </ext>
      </extLst>
    </cfRule>
  </conditionalFormatting>
  <conditionalFormatting sqref="AZ1:AZ1048576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14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9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BA1:BA1048576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14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8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CL2:CL1048576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211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CK1:CK1048576">
    <cfRule type="colorScale" priority="326">
      <colorScale>
        <cfvo type="min"/>
        <cfvo type="max"/>
        <color rgb="FF63BE7B"/>
        <color rgb="FFFFEF9C"/>
      </colorScale>
    </cfRule>
  </conditionalFormatting>
  <conditionalFormatting sqref="F1:F1048576">
    <cfRule type="colorScale" priority="324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J1:BJ1048576">
    <cfRule type="colorScale" priority="241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</conditionalFormatting>
  <conditionalFormatting sqref="BH1:BH1048576">
    <cfRule type="colorScale" priority="242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</conditionalFormatting>
  <conditionalFormatting sqref="H1:H1048576">
    <cfRule type="colorScale" priority="288">
      <colorScale>
        <cfvo type="num" val="1.78"/>
        <cfvo type="percent" val="1.8499000000000001"/>
        <cfvo type="num" val="1.85"/>
        <color rgb="FFF8696B"/>
        <color rgb="FFFFEB84"/>
        <color rgb="FF63BE7B"/>
      </colorScale>
    </cfRule>
  </conditionalFormatting>
  <conditionalFormatting sqref="CL1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124">
      <colorScale>
        <cfvo type="num" val="0"/>
        <cfvo type="num" val="1"/>
        <cfvo type="max"/>
        <color rgb="FFFEE2E3"/>
        <color rgb="FFFFAFAF"/>
        <color rgb="FFF8696B"/>
      </colorScale>
    </cfRule>
  </conditionalFormatting>
  <conditionalFormatting sqref="BD1:BD1048576">
    <cfRule type="iconSet" priority="14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7">
      <colorScale>
        <cfvo type="num" val="-1E-4"/>
        <cfvo type="num" val="0"/>
        <cfvo type="max"/>
        <color rgb="FFF8696B"/>
        <color theme="7" tint="0.79998168889431442"/>
        <color rgb="FFEC7524"/>
      </colorScale>
    </cfRule>
  </conditionalFormatting>
  <conditionalFormatting sqref="BE1:BE1048576">
    <cfRule type="iconSet" priority="14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6">
      <colorScale>
        <cfvo type="num" val="-1E-4"/>
        <cfvo type="num" val="0"/>
        <cfvo type="max"/>
        <color rgb="FFF8696B"/>
        <color rgb="FFFFF2CC"/>
        <color rgb="FFEC7524"/>
      </colorScale>
    </cfRule>
  </conditionalFormatting>
  <conditionalFormatting sqref="CL1:CL1048576">
    <cfRule type="colorScale" priority="200">
      <colorScale>
        <cfvo type="num" val="6.59"/>
        <cfvo type="num" val="6.99"/>
        <cfvo type="num" val="7"/>
        <color rgb="FFF8696B"/>
        <color rgb="FFFFEB84"/>
        <color rgb="FF63BE7B"/>
      </colorScale>
    </cfRule>
    <cfRule type="iconSet" priority="236">
      <iconSet iconSet="3Arrows">
        <cfvo type="percent" val="0"/>
        <cfvo type="num" val="6.7"/>
        <cfvo type="num" val="7"/>
      </iconSet>
    </cfRule>
  </conditionalFormatting>
  <conditionalFormatting sqref="BN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1:BN1048576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 AJ1:AJ1048576">
    <cfRule type="colorScale" priority="6606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{4BE9EE7D-CDDB-4B76-9FC0-2CD95ACCE319}</x14:id>
        </ext>
      </extLst>
    </cfRule>
    <cfRule type="colorScale" priority="137">
      <colorScale>
        <cfvo type="min"/>
        <cfvo type="percentile" val="50"/>
        <cfvo type="max"/>
        <color theme="8" tint="0.79998168889431442"/>
        <color theme="8" tint="0.59999389629810485"/>
        <color rgb="FF5A8AC6"/>
      </colorScale>
    </cfRule>
  </conditionalFormatting>
  <conditionalFormatting sqref="BW1:BW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{648AEEE9-13DF-48FA-A43C-E66A6020C798}</x14:id>
        </ext>
      </extLst>
    </cfRule>
    <cfRule type="colorScale" priority="136">
      <colorScale>
        <cfvo type="min"/>
        <cfvo type="percentile" val="50"/>
        <cfvo type="max"/>
        <color theme="8" tint="0.79998168889431442"/>
        <color theme="8" tint="0.59999389629810485"/>
        <color rgb="FF5A8AC6"/>
      </colorScale>
    </cfRule>
  </conditionalFormatting>
  <conditionalFormatting sqref="BX1:BX104857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{57C7AC16-7E8C-445D-9290-782E5BFF0B76}</x14:id>
        </ext>
      </extLs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3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{50FFED53-08B6-497C-9D58-1364802B3BF2}</x14:id>
        </ext>
      </extLst>
    </cfRule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3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Z1:BZ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{F0FF4969-8518-4C18-9439-A6DB8733BA81}</x14:id>
        </ext>
      </extLst>
    </cfRule>
    <cfRule type="colorScale" priority="131">
      <colorScale>
        <cfvo type="min"/>
        <cfvo type="max"/>
        <color rgb="FFFCFCFF"/>
        <color rgb="FFF8696B"/>
      </colorScale>
    </cfRule>
  </conditionalFormatting>
  <conditionalFormatting sqref="CA1:CA1048576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{04F2973A-18B8-4617-B93D-E979E0E0DA0A}</x14:id>
        </ext>
      </extLst>
    </cfRule>
    <cfRule type="colorScale" priority="130">
      <colorScale>
        <cfvo type="min"/>
        <cfvo type="max"/>
        <color rgb="FFFCFCFF"/>
        <color rgb="FFF8696B"/>
      </colorScale>
    </cfRule>
  </conditionalFormatting>
  <conditionalFormatting sqref="CB1:CB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127">
      <colorScale>
        <cfvo type="num" val="0"/>
        <cfvo type="num" val="1"/>
        <cfvo type="max"/>
        <color rgb="FFFEE2E3"/>
        <color rgb="FFFFAFAF"/>
        <color rgb="FFF8696B"/>
      </colorScale>
    </cfRule>
  </conditionalFormatting>
  <conditionalFormatting sqref="CD1:CD1048576">
    <cfRule type="colorScale" priority="125">
      <colorScale>
        <cfvo type="num" val="0.5"/>
        <cfvo type="max"/>
        <color rgb="FFFEE2E3"/>
        <color rgb="FFF8696B"/>
      </colorScale>
    </cfRule>
  </conditionalFormatting>
  <conditionalFormatting sqref="R1:R1048576">
    <cfRule type="iconSet" priority="1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1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:P104857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1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L1:L104857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0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10">
      <iconSet iconSet="3ArrowsGray">
        <cfvo type="percent" val="0"/>
        <cfvo type="percent" val="33"/>
        <cfvo type="percent" val="67"/>
      </iconSet>
    </cfRule>
  </conditionalFormatting>
  <conditionalFormatting sqref="N1:N1048576">
    <cfRule type="colorScale" priority="106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109">
      <iconSet iconSet="3ArrowsGray">
        <cfvo type="percent" val="0"/>
        <cfvo type="percent" val="33"/>
        <cfvo type="percent" val="67"/>
      </iconSet>
    </cfRule>
  </conditionalFormatting>
  <conditionalFormatting sqref="O1:O1048576">
    <cfRule type="colorScale" priority="105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08">
      <iconSet iconSet="3ArrowsGray">
        <cfvo type="percent" val="0"/>
        <cfvo type="percent" val="33"/>
        <cfvo type="percent" val="67"/>
      </iconSet>
    </cfRule>
  </conditionalFormatting>
  <conditionalFormatting sqref="AU1:AU1048576">
    <cfRule type="iconSet" priority="8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iconSet" priority="8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7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7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H1:CH1048576">
    <cfRule type="colorScale" priority="70">
      <colorScale>
        <cfvo type="min"/>
        <cfvo type="max"/>
        <color rgb="FFFFEF9C"/>
        <color rgb="FF63BE7B"/>
      </colorScale>
    </cfRule>
  </conditionalFormatting>
  <conditionalFormatting sqref="CI1:CI1048576">
    <cfRule type="colorScale" priority="69">
      <colorScale>
        <cfvo type="min"/>
        <cfvo type="max"/>
        <color rgb="FFFFEF9C"/>
        <color rgb="FF63BE7B"/>
      </colorScale>
    </cfRule>
  </conditionalFormatting>
  <conditionalFormatting sqref="CJ1:CJ1048576">
    <cfRule type="iconSet" priority="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colorScale" priority="66">
      <colorScale>
        <cfvo type="min"/>
        <cfvo type="percentile" val="50"/>
        <cfvo type="max"/>
        <color theme="8" tint="0.79998168889431442"/>
        <color theme="4" tint="0.59999389629810485"/>
        <color rgb="FF5799D5"/>
      </colorScale>
    </cfRule>
  </conditionalFormatting>
  <conditionalFormatting sqref="CG1:CG1048576">
    <cfRule type="colorScale" priority="65">
      <colorScale>
        <cfvo type="min"/>
        <cfvo type="max"/>
        <color rgb="FFFEE2E3"/>
        <color rgb="FFF8696B"/>
      </colorScale>
    </cfRule>
  </conditionalFormatting>
  <conditionalFormatting sqref="BO1:BO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{E9A7ED1D-7264-4B20-9282-DA6CAF4BC8E9}</x14:id>
        </ext>
      </extLst>
    </cfRule>
    <cfRule type="colorScale" priority="62">
      <colorScale>
        <cfvo type="min"/>
        <cfvo type="max"/>
        <color rgb="FFFCFCFF"/>
        <color rgb="FFF8696B"/>
      </colorScale>
    </cfRule>
  </conditionalFormatting>
  <conditionalFormatting sqref="BR1:BR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{ADB8A499-A97D-49B2-B301-1329DDB18C80}</x14:id>
        </ext>
      </extLst>
    </cfRule>
    <cfRule type="iconSet" priority="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{F852551D-5544-4F19-A7FE-F7475D677C53}</x14:id>
        </ext>
      </extLst>
    </cfRule>
    <cfRule type="iconSet" priority="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{702A60C2-3457-4868-B22C-49D3CEF76C48}</x14:id>
        </ext>
      </extLst>
    </cfRule>
    <cfRule type="iconSet" priority="5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max"/>
        <color rgb="FFFCFCFF"/>
        <color rgb="FFF8696B"/>
      </colorScale>
    </cfRule>
  </conditionalFormatting>
  <conditionalFormatting sqref="BU1:BU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{9E7037D8-2F78-49E1-8FD3-C774A01DBAF5}</x14:id>
        </ext>
      </extLst>
    </cfRule>
    <cfRule type="iconSet" priority="5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51">
      <colorScale>
        <cfvo type="min"/>
        <cfvo type="max"/>
        <color rgb="FFFCFCFF"/>
        <color rgb="FFF8696B"/>
      </colorScale>
    </cfRule>
  </conditionalFormatting>
  <conditionalFormatting sqref="AP1:AP1048576">
    <cfRule type="colorScale" priority="49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AN1:AN1048576">
    <cfRule type="iconSet" priority="4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7">
      <colorScale>
        <cfvo type="min"/>
        <cfvo type="percentile" val="50"/>
        <cfvo type="max"/>
        <color rgb="FFFFF2CC"/>
        <color rgb="FFF8CBAD"/>
        <color rgb="FFC65911"/>
      </colorScale>
    </cfRule>
  </conditionalFormatting>
  <conditionalFormatting sqref="V1:V1048576">
    <cfRule type="iconSet" priority="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048576">
    <cfRule type="colorScale" priority="44">
      <colorScale>
        <cfvo type="min"/>
        <cfvo type="max"/>
        <color rgb="FFC9E9D1"/>
        <color rgb="FF63BE7B"/>
      </colorScale>
    </cfRule>
  </conditionalFormatting>
  <conditionalFormatting sqref="Y1:Y1048576">
    <cfRule type="colorScale" priority="42">
      <colorScale>
        <cfvo type="min"/>
        <cfvo type="max"/>
        <color rgb="FFC9E9D1"/>
        <color rgb="FF63BE7B"/>
      </colorScale>
    </cfRule>
  </conditionalFormatting>
  <conditionalFormatting sqref="Z1:Z1048576">
    <cfRule type="colorScale" priority="41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A1:AA1048576">
    <cfRule type="colorScale" priority="40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B1:AB1048576">
    <cfRule type="colorScale" priority="39">
      <colorScale>
        <cfvo type="min"/>
        <cfvo type="percentile" val="50"/>
        <cfvo type="max"/>
        <color rgb="FFF8696B"/>
        <color rgb="FFC9E9D1"/>
        <color rgb="FF00B0F0"/>
      </colorScale>
    </cfRule>
  </conditionalFormatting>
  <conditionalFormatting sqref="AC1:AC1048576">
    <cfRule type="colorScale" priority="38">
      <colorScale>
        <cfvo type="min"/>
        <cfvo type="percentile" val="50"/>
        <cfvo type="max"/>
        <color theme="7" tint="0.79998168889431442"/>
        <color rgb="FFC9E9D1"/>
        <color rgb="FF63BE7B"/>
      </colorScale>
    </cfRule>
  </conditionalFormatting>
  <conditionalFormatting sqref="AD1:AD1048576">
    <cfRule type="colorScale" priority="37">
      <colorScale>
        <cfvo type="min"/>
        <cfvo type="percentile" val="50"/>
        <cfvo type="max"/>
        <color rgb="FFFFF2CC"/>
        <color rgb="FFC9E9D1"/>
        <color rgb="FF63BE7B"/>
      </colorScale>
    </cfRule>
  </conditionalFormatting>
  <conditionalFormatting sqref="BG1:BG1048576">
    <cfRule type="iconSet" priority="3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">
      <colorScale>
        <cfvo type="num" val="-1.0000000000000001E-5"/>
        <cfvo type="num" val="0"/>
        <cfvo type="max"/>
        <color rgb="FFF8696B"/>
        <color rgb="FFFFF2CC"/>
        <color rgb="FFEC7524"/>
      </colorScale>
    </cfRule>
  </conditionalFormatting>
  <conditionalFormatting sqref="BL1:BL1048576">
    <cfRule type="colorScale" priority="34">
      <colorScale>
        <cfvo type="min"/>
        <cfvo type="percentile" val="50"/>
        <cfvo type="max"/>
        <color rgb="FFF8696B"/>
        <color rgb="FFFFF2CC"/>
        <color rgb="FFEC7524"/>
      </colorScale>
    </cfRule>
  </conditionalFormatting>
  <conditionalFormatting sqref="BF1:BF1048576">
    <cfRule type="iconSet" priority="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3">
      <colorScale>
        <cfvo type="num" val="-1.0000000000000001E-5"/>
        <cfvo type="num" val="0"/>
        <cfvo type="max"/>
        <color rgb="FFF8696B"/>
        <color rgb="FFFFF2CC"/>
        <color rgb="FFEC7524"/>
      </colorScale>
    </cfRule>
  </conditionalFormatting>
  <conditionalFormatting sqref="BI1:BI1048576">
    <cfRule type="dataBar" priority="31">
      <dataBar>
        <cfvo type="min"/>
        <cfvo type="max"/>
        <color theme="5" tint="-0.249977111117893"/>
      </dataBar>
      <extLst>
        <ext xmlns:x14="http://schemas.microsoft.com/office/spreadsheetml/2009/9/main" uri="{B025F937-C7B1-47D3-B67F-A62EFF666E3E}">
          <x14:id>{CA2A2EB0-01C3-41EB-84DB-6FDA66D2A7D6}</x14:id>
        </ext>
      </extLst>
    </cfRule>
  </conditionalFormatting>
  <conditionalFormatting sqref="BK1:BK1048576">
    <cfRule type="dataBar" priority="30">
      <dataBar>
        <cfvo type="min"/>
        <cfvo type="max"/>
        <color rgb="FFEC7524"/>
      </dataBar>
      <extLst>
        <ext xmlns:x14="http://schemas.microsoft.com/office/spreadsheetml/2009/9/main" uri="{B025F937-C7B1-47D3-B67F-A62EFF666E3E}">
          <x14:id>{E05C20E0-DEA5-4297-A5E0-AD81D5F854F9}</x14:id>
        </ext>
      </extLst>
    </cfRule>
  </conditionalFormatting>
  <conditionalFormatting sqref="J1:J1048576">
    <cfRule type="colorScale" priority="23736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dataBar" priority="29">
      <dataBar>
        <cfvo type="min"/>
        <cfvo type="max"/>
        <color rgb="FFA20000"/>
      </dataBar>
      <extLst>
        <ext xmlns:x14="http://schemas.microsoft.com/office/spreadsheetml/2009/9/main" uri="{B025F937-C7B1-47D3-B67F-A62EFF666E3E}">
          <x14:id>{912F4324-9B94-4CBC-97BC-6E0664AE96AE}</x14:id>
        </ext>
      </extLst>
    </cfRule>
  </conditionalFormatting>
  <conditionalFormatting sqref="BQ1:BQ1048576">
    <cfRule type="dataBar" priority="28">
      <dataBar>
        <cfvo type="min"/>
        <cfvo type="max"/>
        <color rgb="FFA20000"/>
      </dataBar>
      <extLst>
        <ext xmlns:x14="http://schemas.microsoft.com/office/spreadsheetml/2009/9/main" uri="{B025F937-C7B1-47D3-B67F-A62EFF666E3E}">
          <x14:id>{0D56D725-C2A4-47B5-A774-7D791B524F90}</x14:id>
        </ext>
      </extLst>
    </cfRule>
  </conditionalFormatting>
  <conditionalFormatting sqref="T1:T1048576">
    <cfRule type="iconSet" priority="1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">
      <colorScale>
        <cfvo type="min"/>
        <cfvo type="max"/>
        <color rgb="FFFCFCFF"/>
        <color rgb="FFF8696B"/>
      </colorScale>
    </cfRule>
  </conditionalFormatting>
  <conditionalFormatting sqref="AE1:AE1048576">
    <cfRule type="dataBar" priority="10">
      <dataBar>
        <cfvo type="min"/>
        <cfvo type="max"/>
        <color rgb="FF002060"/>
      </dataBar>
      <extLst>
        <ext xmlns:x14="http://schemas.microsoft.com/office/spreadsheetml/2009/9/main" uri="{B025F937-C7B1-47D3-B67F-A62EFF666E3E}">
          <x14:id>{4F910DED-6D7C-4C3F-8253-4517D08E309D}</x14:id>
        </ext>
      </extLst>
    </cfRule>
  </conditionalFormatting>
  <conditionalFormatting sqref="AF1:AF1048576">
    <cfRule type="dataBar" priority="9">
      <dataBar>
        <cfvo type="min"/>
        <cfvo type="max"/>
        <color rgb="FF002060"/>
      </dataBar>
      <extLst>
        <ext xmlns:x14="http://schemas.microsoft.com/office/spreadsheetml/2009/9/main" uri="{B025F937-C7B1-47D3-B67F-A62EFF666E3E}">
          <x14:id>{15B415C8-E7B6-42CD-A3C4-5E838EB09ED0}</x14:id>
        </ext>
      </extLst>
    </cfRule>
  </conditionalFormatting>
  <conditionalFormatting sqref="AH1:AH1048576">
    <cfRule type="dataBar" priority="8">
      <dataBar>
        <cfvo type="min"/>
        <cfvo type="max"/>
        <color rgb="FF002060"/>
      </dataBar>
      <extLst>
        <ext xmlns:x14="http://schemas.microsoft.com/office/spreadsheetml/2009/9/main" uri="{B025F937-C7B1-47D3-B67F-A62EFF666E3E}">
          <x14:id>{800466AA-7BDD-4A5D-8839-DD6488EDE55E}</x14:id>
        </ext>
      </extLst>
    </cfRule>
  </conditionalFormatting>
  <conditionalFormatting sqref="AI1:AI1048576">
    <cfRule type="dataBar" priority="7">
      <dataBar>
        <cfvo type="min"/>
        <cfvo type="max"/>
        <color rgb="FF002060"/>
      </dataBar>
      <extLst>
        <ext xmlns:x14="http://schemas.microsoft.com/office/spreadsheetml/2009/9/main" uri="{B025F937-C7B1-47D3-B67F-A62EFF666E3E}">
          <x14:id>{0E6C988F-4E7D-4CA0-A9F9-ABC63C9AE63C}</x14:id>
        </ext>
      </extLst>
    </cfRule>
  </conditionalFormatting>
  <conditionalFormatting sqref="AK1:AK1048576">
    <cfRule type="dataBar" priority="6">
      <dataBar>
        <cfvo type="min"/>
        <cfvo type="max"/>
        <color rgb="FF002060"/>
      </dataBar>
      <extLst>
        <ext xmlns:x14="http://schemas.microsoft.com/office/spreadsheetml/2009/9/main" uri="{B025F937-C7B1-47D3-B67F-A62EFF666E3E}">
          <x14:id>{CB43718A-2809-4FC7-BFCE-4AED96A45411}</x14:id>
        </ext>
      </extLst>
    </cfRule>
  </conditionalFormatting>
  <conditionalFormatting sqref="AL1:AL1048576">
    <cfRule type="dataBar" priority="5">
      <dataBar>
        <cfvo type="min"/>
        <cfvo type="max"/>
        <color rgb="FF002060"/>
      </dataBar>
      <extLst>
        <ext xmlns:x14="http://schemas.microsoft.com/office/spreadsheetml/2009/9/main" uri="{B025F937-C7B1-47D3-B67F-A62EFF666E3E}">
          <x14:id>{FA45AF2F-2F3C-4EA9-8131-C92A7D1766A3}</x14:id>
        </ext>
      </extLst>
    </cfRule>
  </conditionalFormatting>
  <conditionalFormatting sqref="AM1:AM1048576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2:BN1048576 BN1">
    <cfRule type="colorScale" priority="26437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11">
    <cfRule type="colorScale" priority="2643765">
      <colorScale>
        <cfvo type="num" val="-9.9999999999999998E-13"/>
        <cfvo type="num" val="0"/>
        <cfvo type="max"/>
        <color rgb="FFF8696B"/>
        <color rgb="FFFFEB84"/>
        <color theme="9" tint="0.39997558519241921"/>
      </colorScale>
    </cfRule>
  </conditionalFormatting>
  <conditionalFormatting sqref="AJ2:AJ11">
    <cfRule type="colorScale" priority="26437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:CL11">
    <cfRule type="colorScale" priority="2643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1">
    <cfRule type="colorScale" priority="26437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1">
    <cfRule type="colorScale" priority="2643769">
      <colorScale>
        <cfvo type="min"/>
        <cfvo type="percent" val="50"/>
        <cfvo type="max"/>
        <color theme="0" tint="0.79998168889431442"/>
        <color theme="9" tint="0.59999389629810485"/>
        <color rgb="FF63BE7B"/>
      </colorScale>
    </cfRule>
    <cfRule type="colorScale" priority="2643770">
      <colorScale>
        <cfvo type="min"/>
        <cfvo type="max"/>
        <color rgb="FFFFEF9C"/>
        <color rgb="FF63BE7B"/>
      </colorScale>
    </cfRule>
  </conditionalFormatting>
  <conditionalFormatting sqref="BN2:BN11">
    <cfRule type="colorScale" priority="2643771">
      <colorScale>
        <cfvo type="min"/>
        <cfvo type="percentile" val="50"/>
        <cfvo type="max"/>
        <color theme="5" tint="0.79998168889431442"/>
        <color theme="5" tint="0.39997558519241921"/>
        <color rgb="FFEC7524"/>
      </colorScale>
    </cfRule>
    <cfRule type="colorScale" priority="26437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43773">
      <colorScale>
        <cfvo type="min"/>
        <cfvo type="max"/>
        <color rgb="FFFCFCFF"/>
        <color rgb="FF63BE7B"/>
      </colorScale>
    </cfRule>
  </conditionalFormatting>
  <conditionalFormatting sqref="BN2:BN11">
    <cfRule type="colorScale" priority="2643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1">
    <cfRule type="colorScale" priority="26437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Q11">
    <cfRule type="dataBar" priority="26437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{2FC819BD-B89C-455D-B6AE-68CC0317ED24}</x14:id>
        </ext>
      </extLst>
    </cfRule>
  </conditionalFormatting>
  <conditionalFormatting sqref="J2:J11">
    <cfRule type="colorScale" priority="2643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537749-53AB-41C5-A1F8-D46AFC65EE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4BE9EE7D-CDDB-4B76-9FC0-2CD95ACCE3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BV1:BV1048576</xm:sqref>
        </x14:conditionalFormatting>
        <x14:conditionalFormatting xmlns:xm="http://schemas.microsoft.com/office/excel/2006/main">
          <x14:cfRule type="dataBar" id="{648AEEE9-13DF-48FA-A43C-E66A6020C7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BW1:BW1048576</xm:sqref>
        </x14:conditionalFormatting>
        <x14:conditionalFormatting xmlns:xm="http://schemas.microsoft.com/office/excel/2006/main">
          <x14:cfRule type="dataBar" id="{57C7AC16-7E8C-445D-9290-782E5BFF0B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BX1:BX1048576</xm:sqref>
        </x14:conditionalFormatting>
        <x14:conditionalFormatting xmlns:xm="http://schemas.microsoft.com/office/excel/2006/main">
          <x14:cfRule type="dataBar" id="{50FFED53-08B6-497C-9D58-1364802B3B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F0FF4969-8518-4C18-9439-A6DB8733BA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04F2973A-18B8-4617-B93D-E979E0E0DA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CA1:CA1048576</xm:sqref>
        </x14:conditionalFormatting>
        <x14:conditionalFormatting xmlns:xm="http://schemas.microsoft.com/office/excel/2006/main">
          <x14:cfRule type="dataBar" id="{E9A7ED1D-7264-4B20-9282-DA6CAF4BC8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ADB8A499-A97D-49B2-B301-1329DDB18C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BR1:BR1048576</xm:sqref>
        </x14:conditionalFormatting>
        <x14:conditionalFormatting xmlns:xm="http://schemas.microsoft.com/office/excel/2006/main">
          <x14:cfRule type="dataBar" id="{F852551D-5544-4F19-A7FE-F7475D677C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702A60C2-3457-4868-B22C-49D3CEF76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9E7037D8-2F78-49E1-8FD3-C774A01DB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CA2A2EB0-01C3-41EB-84DB-6FDA66D2A7D6}">
            <x14:dataBar minLength="0" maxLength="100" border="1" negativeBarBorderColorSameAsPositive="0">
              <x14:cfvo type="autoMin"/>
              <x14:cfvo type="autoMax"/>
              <x14:borderColor theme="5" tint="0.39997558519241921"/>
              <x14:negativeFillColor rgb="FFFF0000"/>
              <x14:negativeBorderColor rgb="FFFF0000"/>
              <x14:axisColor rgb="FF000000"/>
            </x14:dataBar>
          </x14:cfRule>
          <xm:sqref>BI1:BI1048576</xm:sqref>
        </x14:conditionalFormatting>
        <x14:conditionalFormatting xmlns:xm="http://schemas.microsoft.com/office/excel/2006/main">
          <x14:cfRule type="dataBar" id="{E05C20E0-DEA5-4297-A5E0-AD81D5F854F9}">
            <x14:dataBar minLength="0" maxLength="100" border="1" negativeBarBorderColorSameAsPositive="0">
              <x14:cfvo type="autoMin"/>
              <x14:cfvo type="autoMax"/>
              <x14:borderColor theme="5" tint="0.39997558519241921"/>
              <x14:negativeFillColor rgb="FFFF0000"/>
              <x14:negativeBorderColor rgb="FFFF0000"/>
              <x14:axisColor rgb="FF000000"/>
            </x14:dataBar>
          </x14:cfRule>
          <xm:sqref>BK1:BK1048576</xm:sqref>
        </x14:conditionalFormatting>
        <x14:conditionalFormatting xmlns:xm="http://schemas.microsoft.com/office/excel/2006/main">
          <x14:cfRule type="dataBar" id="{912F4324-9B94-4CBC-97BC-6E0664AE96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BP1:BP1048576</xm:sqref>
        </x14:conditionalFormatting>
        <x14:conditionalFormatting xmlns:xm="http://schemas.microsoft.com/office/excel/2006/main">
          <x14:cfRule type="dataBar" id="{0D56D725-C2A4-47B5-A774-7D791B524F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4F910DED-6D7C-4C3F-8253-4517D08E30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AE1:AE1048576</xm:sqref>
        </x14:conditionalFormatting>
        <x14:conditionalFormatting xmlns:xm="http://schemas.microsoft.com/office/excel/2006/main">
          <x14:cfRule type="dataBar" id="{15B415C8-E7B6-42CD-A3C4-5E838EB09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800466AA-7BDD-4A5D-8839-DD6488EDE5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AH1:AH1048576</xm:sqref>
        </x14:conditionalFormatting>
        <x14:conditionalFormatting xmlns:xm="http://schemas.microsoft.com/office/excel/2006/main">
          <x14:cfRule type="dataBar" id="{0E6C988F-4E7D-4CA0-A9F9-ABC63C9AE6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AI1:AI1048576</xm:sqref>
        </x14:conditionalFormatting>
        <x14:conditionalFormatting xmlns:xm="http://schemas.microsoft.com/office/excel/2006/main">
          <x14:cfRule type="dataBar" id="{CB43718A-2809-4FC7-BFCE-4AED96A454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AK1:AK1048576</xm:sqref>
        </x14:conditionalFormatting>
        <x14:conditionalFormatting xmlns:xm="http://schemas.microsoft.com/office/excel/2006/main">
          <x14:cfRule type="dataBar" id="{FA45AF2F-2F3C-4EA9-8131-C92A7D1766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AL1:AL1048576</xm:sqref>
        </x14:conditionalFormatting>
        <x14:conditionalFormatting xmlns:xm="http://schemas.microsoft.com/office/excel/2006/main">
          <x14:cfRule type="dataBar" id="{2FC819BD-B89C-455D-B6AE-68CC0317ED2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AQ2:AQ11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>
    <tabColor theme="4" tint="-0.499984740745262"/>
  </sheetPr>
  <dimension ref="A1:GL11"/>
  <sheetViews>
    <sheetView zoomScale="90" zoomScaleNormal="90" workbookViewId="0">
      <pane xSplit="2" ySplit="1" topLeftCell="C2" activePane="bottomRight" state="frozen"/>
      <selection activeCell="F1" sqref="F1:F1048576"/>
      <selection pane="topRight" activeCell="F1" sqref="F1:F1048576"/>
      <selection pane="bottomLeft" activeCell="F1" sqref="F1:F1048576"/>
      <selection pane="bottomRight"/>
    </sheetView>
  </sheetViews>
  <sheetFormatPr defaultRowHeight="24.95" customHeight="1" x14ac:dyDescent="0.25"/>
  <cols>
    <col min="2" max="2" width="30.7109375" customWidth="1"/>
    <col min="3" max="3" width="12.5703125" customWidth="1"/>
    <col min="4" max="4" width="21.7109375" customWidth="1"/>
    <col min="5" max="5" width="24.28515625" customWidth="1"/>
    <col min="6" max="6" width="14" customWidth="1"/>
    <col min="7" max="7" width="15.7109375" customWidth="1"/>
    <col min="8" max="8" width="17.140625" customWidth="1"/>
    <col min="9" max="9" width="18" customWidth="1"/>
    <col min="10" max="10" width="20.85546875" style="13" bestFit="1" customWidth="1"/>
    <col min="11" max="12" width="15.7109375" customWidth="1"/>
    <col min="13" max="62" width="18.7109375" customWidth="1"/>
    <col min="63" max="64" width="18.7109375" style="187" customWidth="1"/>
    <col min="65" max="73" width="18.7109375" customWidth="1"/>
    <col min="74" max="78" width="18.7109375" style="11" customWidth="1"/>
    <col min="79" max="95" width="18.7109375" customWidth="1"/>
    <col min="96" max="96" width="18.7109375" style="11" customWidth="1"/>
    <col min="97" max="99" width="18.7109375" customWidth="1"/>
    <col min="100" max="123" width="18.7109375" style="11" customWidth="1"/>
    <col min="124" max="130" width="18.7109375" customWidth="1"/>
    <col min="131" max="138" width="18.7109375" style="11" customWidth="1"/>
    <col min="139" max="139" width="18.7109375" style="103" customWidth="1"/>
    <col min="140" max="140" width="9.7109375" style="1" customWidth="1"/>
    <col min="141" max="187" width="12.7109375" style="1" customWidth="1"/>
    <col min="188" max="188" width="9.140625" style="1"/>
  </cols>
  <sheetData>
    <row r="1" spans="1:194" ht="50.1" customHeight="1" thickBot="1" x14ac:dyDescent="0.3">
      <c r="A1" s="112"/>
      <c r="B1" s="4" t="s">
        <v>20</v>
      </c>
      <c r="C1" s="4" t="s">
        <v>212</v>
      </c>
      <c r="D1" s="94" t="s">
        <v>230</v>
      </c>
      <c r="E1" s="4" t="s">
        <v>28</v>
      </c>
      <c r="F1" s="4" t="s">
        <v>29</v>
      </c>
      <c r="G1" s="4" t="s">
        <v>1</v>
      </c>
      <c r="H1" s="4" t="s">
        <v>21</v>
      </c>
      <c r="I1" s="8" t="s">
        <v>89</v>
      </c>
      <c r="J1" s="85" t="s">
        <v>3</v>
      </c>
      <c r="K1" s="4" t="s">
        <v>229</v>
      </c>
      <c r="L1" s="4" t="s">
        <v>119</v>
      </c>
      <c r="M1" s="30" t="s">
        <v>415</v>
      </c>
      <c r="N1" s="30" t="s">
        <v>416</v>
      </c>
      <c r="O1" s="30" t="s">
        <v>419</v>
      </c>
      <c r="P1" s="221" t="s">
        <v>22</v>
      </c>
      <c r="Q1" s="221" t="s">
        <v>24</v>
      </c>
      <c r="R1" s="221" t="s">
        <v>304</v>
      </c>
      <c r="S1" s="221" t="s">
        <v>151</v>
      </c>
      <c r="T1" s="221" t="s">
        <v>303</v>
      </c>
      <c r="U1" s="46" t="s">
        <v>328</v>
      </c>
      <c r="V1" s="46" t="s">
        <v>329</v>
      </c>
      <c r="W1" s="46" t="s">
        <v>330</v>
      </c>
      <c r="X1" s="46" t="s">
        <v>331</v>
      </c>
      <c r="Y1" s="46" t="s">
        <v>332</v>
      </c>
      <c r="Z1" s="46" t="s">
        <v>333</v>
      </c>
      <c r="AA1" s="46" t="s">
        <v>351</v>
      </c>
      <c r="AB1" s="46" t="s">
        <v>325</v>
      </c>
      <c r="AC1" s="98" t="s">
        <v>38</v>
      </c>
      <c r="AD1" s="98" t="s">
        <v>412</v>
      </c>
      <c r="AE1" s="98" t="s">
        <v>411</v>
      </c>
      <c r="AF1" s="104" t="s">
        <v>239</v>
      </c>
      <c r="AG1" s="104" t="s">
        <v>236</v>
      </c>
      <c r="AH1" s="105" t="s">
        <v>237</v>
      </c>
      <c r="AI1" s="104" t="s">
        <v>238</v>
      </c>
      <c r="AJ1" s="312" t="s">
        <v>302</v>
      </c>
      <c r="AK1" s="313" t="s">
        <v>301</v>
      </c>
      <c r="AL1" s="25" t="s">
        <v>300</v>
      </c>
      <c r="AM1" s="25" t="s">
        <v>299</v>
      </c>
      <c r="AN1" s="25" t="s">
        <v>298</v>
      </c>
      <c r="AO1" s="25" t="s">
        <v>297</v>
      </c>
      <c r="AP1" s="113" t="s">
        <v>296</v>
      </c>
      <c r="AQ1" s="130" t="s">
        <v>295</v>
      </c>
      <c r="AR1" s="130" t="s">
        <v>294</v>
      </c>
      <c r="AS1" s="130" t="s">
        <v>293</v>
      </c>
      <c r="AT1" s="25" t="s">
        <v>457</v>
      </c>
      <c r="AU1" s="25" t="s">
        <v>458</v>
      </c>
      <c r="AV1" s="156" t="s">
        <v>567</v>
      </c>
      <c r="AW1" s="156" t="s">
        <v>569</v>
      </c>
      <c r="AX1" s="156" t="s">
        <v>570</v>
      </c>
      <c r="AY1" s="156" t="s">
        <v>571</v>
      </c>
      <c r="AZ1" s="156" t="s">
        <v>574</v>
      </c>
      <c r="BA1" s="156" t="s">
        <v>572</v>
      </c>
      <c r="BB1" s="26" t="s">
        <v>573</v>
      </c>
      <c r="BC1" s="26" t="s">
        <v>568</v>
      </c>
      <c r="BD1" s="26" t="s">
        <v>62</v>
      </c>
      <c r="BE1" s="26" t="s">
        <v>471</v>
      </c>
      <c r="BF1" s="26" t="s">
        <v>51</v>
      </c>
      <c r="BG1" s="26" t="s">
        <v>50</v>
      </c>
      <c r="BH1" s="129" t="s">
        <v>292</v>
      </c>
      <c r="BI1" s="129" t="s">
        <v>291</v>
      </c>
      <c r="BJ1" s="129" t="s">
        <v>290</v>
      </c>
      <c r="BK1" s="26" t="s">
        <v>49</v>
      </c>
      <c r="BL1" s="26" t="s">
        <v>490</v>
      </c>
      <c r="BM1" s="129" t="s">
        <v>180</v>
      </c>
      <c r="BN1" s="129" t="s">
        <v>289</v>
      </c>
      <c r="BO1" s="129" t="s">
        <v>110</v>
      </c>
      <c r="BP1" s="129" t="s">
        <v>288</v>
      </c>
      <c r="BQ1" s="128" t="s">
        <v>243</v>
      </c>
      <c r="BR1" s="128" t="s">
        <v>244</v>
      </c>
      <c r="BS1" s="22" t="s">
        <v>109</v>
      </c>
      <c r="BT1" s="50" t="s">
        <v>459</v>
      </c>
      <c r="BU1" s="50" t="s">
        <v>460</v>
      </c>
      <c r="BV1" s="95" t="s">
        <v>223</v>
      </c>
      <c r="BW1" s="95" t="s">
        <v>224</v>
      </c>
      <c r="BX1" s="95" t="s">
        <v>225</v>
      </c>
      <c r="BY1" s="95" t="s">
        <v>226</v>
      </c>
      <c r="BZ1" s="95" t="s">
        <v>227</v>
      </c>
      <c r="CA1" s="127" t="s">
        <v>81</v>
      </c>
      <c r="CB1" s="38" t="s">
        <v>168</v>
      </c>
      <c r="CC1" s="38" t="s">
        <v>287</v>
      </c>
      <c r="CD1" s="38" t="s">
        <v>286</v>
      </c>
      <c r="CE1" s="80" t="s">
        <v>285</v>
      </c>
      <c r="CF1" s="38" t="s">
        <v>284</v>
      </c>
      <c r="CG1" s="38" t="s">
        <v>313</v>
      </c>
      <c r="CH1" s="38" t="s">
        <v>283</v>
      </c>
      <c r="CI1" s="38" t="s">
        <v>282</v>
      </c>
      <c r="CJ1" s="80" t="s">
        <v>281</v>
      </c>
      <c r="CK1" s="359" t="s">
        <v>280</v>
      </c>
      <c r="CL1" s="359" t="s">
        <v>279</v>
      </c>
      <c r="CM1" s="359" t="s">
        <v>278</v>
      </c>
      <c r="CN1" s="214" t="s">
        <v>428</v>
      </c>
      <c r="CO1" s="214" t="s">
        <v>429</v>
      </c>
      <c r="CP1" s="214" t="s">
        <v>463</v>
      </c>
      <c r="CQ1" s="48" t="s">
        <v>464</v>
      </c>
      <c r="CR1" s="48" t="s">
        <v>277</v>
      </c>
      <c r="CS1" s="49" t="s">
        <v>447</v>
      </c>
      <c r="CT1" s="49" t="s">
        <v>448</v>
      </c>
      <c r="CU1" s="49" t="s">
        <v>449</v>
      </c>
      <c r="CV1" s="49" t="s">
        <v>146</v>
      </c>
      <c r="CW1" s="371" t="s">
        <v>450</v>
      </c>
      <c r="CX1" s="371" t="s">
        <v>640</v>
      </c>
      <c r="CY1" s="10" t="s">
        <v>145</v>
      </c>
      <c r="CZ1" s="126" t="s">
        <v>276</v>
      </c>
      <c r="DA1" s="126" t="s">
        <v>275</v>
      </c>
      <c r="DB1" s="126" t="s">
        <v>274</v>
      </c>
      <c r="DC1" s="126" t="s">
        <v>273</v>
      </c>
      <c r="DD1" s="355" t="s">
        <v>272</v>
      </c>
      <c r="DE1" s="356" t="s">
        <v>271</v>
      </c>
      <c r="DF1" s="355" t="s">
        <v>270</v>
      </c>
      <c r="DG1" s="355" t="s">
        <v>269</v>
      </c>
      <c r="DH1" s="355" t="s">
        <v>268</v>
      </c>
      <c r="DI1" s="374" t="s">
        <v>267</v>
      </c>
      <c r="DJ1" s="375" t="s">
        <v>266</v>
      </c>
      <c r="DK1" s="274" t="s">
        <v>69</v>
      </c>
      <c r="DL1" s="274" t="s">
        <v>265</v>
      </c>
      <c r="DM1" s="125" t="s">
        <v>264</v>
      </c>
      <c r="DN1" s="124" t="s">
        <v>263</v>
      </c>
      <c r="DO1" s="123" t="s">
        <v>262</v>
      </c>
      <c r="DP1" s="122" t="s">
        <v>261</v>
      </c>
      <c r="DQ1" s="122" t="s">
        <v>260</v>
      </c>
      <c r="DR1" s="121" t="s">
        <v>259</v>
      </c>
      <c r="DS1" s="120" t="s">
        <v>140</v>
      </c>
      <c r="DT1" s="119" t="s">
        <v>143</v>
      </c>
      <c r="DU1" s="119" t="s">
        <v>141</v>
      </c>
      <c r="DV1" s="119" t="s">
        <v>144</v>
      </c>
      <c r="DW1" s="211" t="s">
        <v>445</v>
      </c>
      <c r="DX1" s="211" t="s">
        <v>446</v>
      </c>
      <c r="DY1" s="48" t="s">
        <v>142</v>
      </c>
      <c r="DZ1" s="47" t="s">
        <v>18</v>
      </c>
      <c r="EA1" s="47" t="s">
        <v>80</v>
      </c>
      <c r="EB1" s="47" t="s">
        <v>258</v>
      </c>
      <c r="EC1" s="47" t="s">
        <v>91</v>
      </c>
      <c r="ED1" s="47" t="s">
        <v>169</v>
      </c>
      <c r="EE1" s="43" t="s">
        <v>409</v>
      </c>
      <c r="EF1" s="43" t="s">
        <v>410</v>
      </c>
      <c r="EG1" s="43" t="s">
        <v>549</v>
      </c>
      <c r="EH1" s="43" t="s">
        <v>178</v>
      </c>
      <c r="EI1" s="110" t="s">
        <v>25</v>
      </c>
      <c r="EJ1" s="289" t="s">
        <v>14</v>
      </c>
      <c r="EK1" s="290" t="s">
        <v>20</v>
      </c>
      <c r="EL1" s="290" t="s">
        <v>29</v>
      </c>
      <c r="EM1" s="290" t="s">
        <v>1</v>
      </c>
      <c r="EN1" s="290" t="s">
        <v>2</v>
      </c>
      <c r="EO1" s="290" t="s">
        <v>3</v>
      </c>
      <c r="EP1" s="290" t="s">
        <v>584</v>
      </c>
      <c r="EQ1" s="290" t="s">
        <v>40</v>
      </c>
      <c r="ER1" s="290" t="s">
        <v>88</v>
      </c>
      <c r="ES1" s="290" t="s">
        <v>0</v>
      </c>
      <c r="ET1" s="290" t="s">
        <v>585</v>
      </c>
      <c r="EU1" s="290" t="s">
        <v>608</v>
      </c>
      <c r="EV1" s="290" t="s">
        <v>30</v>
      </c>
      <c r="EW1" s="290" t="s">
        <v>587</v>
      </c>
      <c r="EX1" s="290" t="s">
        <v>609</v>
      </c>
      <c r="EY1" s="290" t="s">
        <v>610</v>
      </c>
      <c r="EZ1" s="290" t="s">
        <v>63</v>
      </c>
      <c r="FA1" s="290" t="s">
        <v>262</v>
      </c>
      <c r="FB1" s="290" t="s">
        <v>187</v>
      </c>
      <c r="FC1" s="290" t="s">
        <v>188</v>
      </c>
      <c r="FD1" s="290" t="s">
        <v>17</v>
      </c>
      <c r="FE1" s="290" t="s">
        <v>11</v>
      </c>
      <c r="FF1" s="290" t="s">
        <v>185</v>
      </c>
      <c r="FG1" s="290" t="s">
        <v>103</v>
      </c>
      <c r="FH1" s="290" t="s">
        <v>595</v>
      </c>
      <c r="FI1" s="290" t="s">
        <v>251</v>
      </c>
      <c r="FJ1" s="290" t="s">
        <v>234</v>
      </c>
      <c r="FK1" s="290" t="s">
        <v>163</v>
      </c>
      <c r="FL1" s="290" t="s">
        <v>48</v>
      </c>
      <c r="FM1" s="290" t="s">
        <v>41</v>
      </c>
      <c r="FN1" s="290" t="s">
        <v>603</v>
      </c>
      <c r="FO1" s="290" t="s">
        <v>49</v>
      </c>
      <c r="FP1" s="290" t="s">
        <v>18</v>
      </c>
      <c r="FQ1" s="290" t="s">
        <v>165</v>
      </c>
      <c r="FR1" s="290" t="s">
        <v>10</v>
      </c>
      <c r="FS1" s="290" t="s">
        <v>605</v>
      </c>
      <c r="FT1" s="290" t="s">
        <v>15</v>
      </c>
      <c r="FU1" s="290" t="s">
        <v>16</v>
      </c>
      <c r="FV1" s="290" t="s">
        <v>4</v>
      </c>
      <c r="FW1" s="290" t="s">
        <v>8</v>
      </c>
      <c r="FX1" s="290" t="s">
        <v>9</v>
      </c>
      <c r="FY1" s="290" t="s">
        <v>5</v>
      </c>
      <c r="FZ1" s="290" t="s">
        <v>102</v>
      </c>
      <c r="GA1" s="290" t="s">
        <v>7</v>
      </c>
      <c r="GB1" s="290" t="s">
        <v>164</v>
      </c>
      <c r="GC1" s="290" t="s">
        <v>606</v>
      </c>
      <c r="GD1" s="290" t="s">
        <v>611</v>
      </c>
      <c r="GE1" s="291" t="s">
        <v>600</v>
      </c>
      <c r="GL1" s="109"/>
    </row>
    <row r="2" spans="1:194" ht="24.95" customHeight="1" thickBot="1" x14ac:dyDescent="0.3">
      <c r="A2" s="29" t="str">
        <f t="shared" ref="A2:A11" si="0">ROW()-1 &amp; "º"</f>
        <v>1º</v>
      </c>
      <c r="B2" s="101" t="str">
        <f t="shared" ref="B2:B11" si="1">EK2</f>
        <v>Elielton</v>
      </c>
      <c r="C2" s="86" t="str">
        <f t="shared" ref="C2:C11" si="2">EP2</f>
        <v>BRA</v>
      </c>
      <c r="D2" s="99" t="str">
        <f t="shared" ref="D2:D11" si="3">EQ2</f>
        <v>Somente Pé Esquerdo</v>
      </c>
      <c r="E2" s="67" t="str">
        <f t="shared" ref="E2:E11" si="4">ES2</f>
        <v>Independente (AP)</v>
      </c>
      <c r="F2" s="166">
        <f t="shared" ref="F2:F11" si="5">IFERROR(SUBSTITUTE(EL2," cm","")/100,0)</f>
        <v>1.85</v>
      </c>
      <c r="G2" s="169">
        <f t="shared" ref="G2:G11" si="6">EM2</f>
        <v>31</v>
      </c>
      <c r="H2" s="68">
        <f t="shared" ref="H2:H11" si="7">EN2</f>
        <v>0</v>
      </c>
      <c r="I2" s="198">
        <f t="shared" ref="I2:I11" si="8">IF(ER2="-", "Sem Data Final", ER2)</f>
        <v>46173</v>
      </c>
      <c r="J2" s="301" t="str">
        <f t="shared" ref="J2:J11" si="9">EO2</f>
        <v>€1,2m p/m</v>
      </c>
      <c r="K2" s="96">
        <f t="shared" ref="K2:K11" si="10">AVERAGE(L:L)</f>
        <v>4.5855555555555556</v>
      </c>
      <c r="L2" s="145">
        <f t="shared" ref="L2:L11" si="11">IFERROR(ET2/90,0)</f>
        <v>4</v>
      </c>
      <c r="M2" s="145">
        <f t="shared" ref="M2:M11" si="12">IFERROR(IF(ISERROR(FIND("(",EU2)), VALUE(EU2), VALUE(LEFT(EU2,FIND("(",EU2)-2)) + VALUE(MID(EU2,FIND("(",EU2)+1,FIND(")",EU2)-FIND("(",EU2)-1))),0)</f>
        <v>4</v>
      </c>
      <c r="N2" s="145">
        <f t="shared" ref="N2:N11" si="13">IFERROR(ET2/M2,0)</f>
        <v>90</v>
      </c>
      <c r="O2" s="190">
        <f t="shared" ref="O2:O11" si="14">IFERROR(IF(ISERROR(FIND("(",EU2)), "100%", TEXT(VALUE(LEFT(EU2,FIND("(",EU2)-2)) / (VALUE(LEFT(EU2,FIND("(",EU2)-2)) + VALUE(MID(EU2,FIND("(",EU2)+1,FIND(")",EU2)-FIND("(",EU2)-1))),"0%")),0)*1</f>
        <v>1</v>
      </c>
      <c r="P2" s="55">
        <f t="shared" ref="P2:P11" si="15">EX2</f>
        <v>0</v>
      </c>
      <c r="Q2" s="55">
        <f t="shared" ref="Q2:Q11" si="16">EY2</f>
        <v>1</v>
      </c>
      <c r="R2" s="55">
        <f t="shared" ref="R2:R11" si="17">IFERROR(EX2+EY2,0)</f>
        <v>1</v>
      </c>
      <c r="S2" s="57">
        <f t="shared" ref="S2:S11" si="18">IFERROR((P2/L2),0)</f>
        <v>0</v>
      </c>
      <c r="T2" s="57">
        <f t="shared" ref="T2:T11" si="19">IFERROR(R2/L2,0)</f>
        <v>0.25</v>
      </c>
      <c r="U2" s="57">
        <f t="shared" ref="U2:U11" si="20">SUBSTITUTE(GA2,".",",")*1</f>
        <v>0.13</v>
      </c>
      <c r="V2" s="57">
        <f t="shared" ref="V2:V11" si="21">IFERROR(U2/L2,0)</f>
        <v>3.2500000000000001E-2</v>
      </c>
      <c r="W2" s="57">
        <f t="shared" ref="W2:W11" si="22">IFERROR(U2-(FY2*0.79),0)</f>
        <v>0.13</v>
      </c>
      <c r="X2" s="57">
        <f t="shared" ref="X2:X11" si="23">IFERROR(W2/L2,0)</f>
        <v>3.2500000000000001E-2</v>
      </c>
      <c r="Y2" s="57">
        <f t="shared" ref="Y2:Y11" si="24">SUBSTITUTE(GB2,".",",")*1</f>
        <v>0.06</v>
      </c>
      <c r="Z2" s="57">
        <f t="shared" ref="Z2:Z11" si="25">IFERROR(Y2/L2,0)</f>
        <v>1.4999999999999999E-2</v>
      </c>
      <c r="AA2" s="57">
        <f t="shared" ref="AA2:AA11" si="26">IFERROR(U2+Y2,0)</f>
        <v>0.19</v>
      </c>
      <c r="AB2" s="57">
        <f t="shared" ref="AB2:AB11" si="27">IFERROR(AA2/L2,0)</f>
        <v>4.7500000000000001E-2</v>
      </c>
      <c r="AC2" s="56">
        <f t="shared" ref="AC2:AC11" si="28">IFERROR(EV2,0)</f>
        <v>0</v>
      </c>
      <c r="AD2" s="57">
        <f t="shared" ref="AD2:AD11" si="29">IFERROR((ET2/EV2),5400)</f>
        <v>5400</v>
      </c>
      <c r="AE2" s="63">
        <f t="shared" ref="AE2:AE11" si="30">IFERROR((AC2*1)/L2,0)</f>
        <v>0</v>
      </c>
      <c r="AF2" s="306">
        <f t="shared" ref="AF2:AF11" si="31">FY2</f>
        <v>0</v>
      </c>
      <c r="AG2" s="306">
        <f t="shared" ref="AG2:AG11" si="32">FZ2</f>
        <v>0</v>
      </c>
      <c r="AH2" s="56">
        <f t="shared" ref="AH2:AH11" si="33">IFERROR(FY2-FZ2,0)</f>
        <v>0</v>
      </c>
      <c r="AI2" s="60">
        <f t="shared" ref="AI2:AI11" si="34">IFERROR((AG2*1)/AF2,0.0000001)</f>
        <v>9.9999999999999995E-8</v>
      </c>
      <c r="AJ2" s="302">
        <f t="shared" ref="AJ2:AJ11" si="35">EW2</f>
        <v>0</v>
      </c>
      <c r="AK2" s="303">
        <f t="shared" ref="AK2:AK11" si="36">IFERROR(AJ2/L2,0)</f>
        <v>0</v>
      </c>
      <c r="AL2" s="56">
        <f t="shared" ref="AL2:AL11" si="37">FE2</f>
        <v>25</v>
      </c>
      <c r="AM2" s="57">
        <f t="shared" ref="AM2:AM11" si="38">IFERROR(AL2/L2,0)</f>
        <v>6.25</v>
      </c>
      <c r="AN2" s="56">
        <f t="shared" ref="AN2:AN11" si="39">IFERROR(FD2,0)</f>
        <v>21</v>
      </c>
      <c r="AO2" s="57">
        <f t="shared" ref="AO2:AO11" si="40">IFERROR(AN2/L2,0)</f>
        <v>5.25</v>
      </c>
      <c r="AP2" s="60">
        <f t="shared" ref="AP2:AP11" si="41">IFERROR((AN2*1)/AL2,0)</f>
        <v>0.84</v>
      </c>
      <c r="AQ2" s="56">
        <f t="shared" ref="AQ2:AQ11" si="42">IFERROR(AL2-AN2,0)</f>
        <v>4</v>
      </c>
      <c r="AR2" s="57">
        <f t="shared" ref="AR2:AR11" si="43">IFERROR(AQ2/L2,0)</f>
        <v>1</v>
      </c>
      <c r="AS2" s="60">
        <f t="shared" ref="AS2:AS11" si="44">IFERROR((AQ2*1)/AL2,0)</f>
        <v>0.16</v>
      </c>
      <c r="AT2" s="210">
        <f t="shared" ref="AT2:AT11" si="45">IFERROR((AU2*L2),0)</f>
        <v>0.8</v>
      </c>
      <c r="AU2" s="209">
        <f t="shared" ref="AU2:AU11" si="46">IFERROR(FF2,0)</f>
        <v>0.2</v>
      </c>
      <c r="AV2" s="63">
        <f t="shared" ref="AV2:AV11" si="47">FW2/FE2</f>
        <v>0.12</v>
      </c>
      <c r="AW2" s="210">
        <f t="shared" ref="AW2:AW11" si="48">IFERROR(FW2-FY2,0)</f>
        <v>3</v>
      </c>
      <c r="AX2" s="209">
        <f t="shared" ref="AX2:AX11" si="49">AW2/L2</f>
        <v>0.75</v>
      </c>
      <c r="AY2" s="210">
        <f t="shared" ref="AY2:AY11" si="50">IFERROR(FX2-FY2,0)</f>
        <v>1</v>
      </c>
      <c r="AZ2" s="209">
        <f t="shared" ref="AZ2:AZ11" si="51">IFERROR(AY2/L2,0)</f>
        <v>0.25</v>
      </c>
      <c r="BA2" s="63">
        <f t="shared" ref="BA2:BA11" si="52">IFERROR(AY2/AW2,0)</f>
        <v>0.33333333333333331</v>
      </c>
      <c r="BB2" s="358">
        <f t="shared" ref="BB2:BB11" si="53">IFERROR(W2/(FW2-FY2),0)</f>
        <v>4.3333333333333335E-2</v>
      </c>
      <c r="BC2" s="357">
        <f t="shared" ref="BC2:BC11" si="54">W2-(FY2*0.79)</f>
        <v>0.13</v>
      </c>
      <c r="BD2" s="357">
        <f t="shared" ref="BD2:BD11" si="55">EX2-U2</f>
        <v>-0.13</v>
      </c>
      <c r="BE2" s="357">
        <f t="shared" ref="BE2:BE11" si="56">IFERROR((EX2-FZ2)-W2,0)</f>
        <v>-0.13</v>
      </c>
      <c r="BF2" s="56">
        <f t="shared" ref="BF2:BF11" si="57">IFERROR(FM2+FI2+FJ2,0)</f>
        <v>31</v>
      </c>
      <c r="BG2" s="57">
        <f t="shared" ref="BG2:BG11" si="58">IFERROR(BF2/L2,0)</f>
        <v>7.75</v>
      </c>
      <c r="BH2" s="56">
        <f t="shared" ref="BH2:BH11" si="59">FJ2</f>
        <v>4</v>
      </c>
      <c r="BI2" s="57">
        <f t="shared" ref="BI2:BI11" si="60">IFERROR(BH2/L2,0)</f>
        <v>1</v>
      </c>
      <c r="BJ2" s="57">
        <f t="shared" ref="BJ2:BJ11" si="61">IFERROR((FJ2+FI2+FM2+FL2)/L2,0)</f>
        <v>8</v>
      </c>
      <c r="BK2" s="222">
        <f t="shared" ref="BK2:BK11" si="62">FO2</f>
        <v>10</v>
      </c>
      <c r="BL2" s="220">
        <f t="shared" ref="BL2:BL11" si="63">IFERROR(BK2/L2,0)</f>
        <v>2.5</v>
      </c>
      <c r="BM2" s="56">
        <f t="shared" ref="BM2:BM11" si="64">FG2+FN2</f>
        <v>3</v>
      </c>
      <c r="BN2" s="57">
        <f t="shared" ref="BN2:BN11" si="65">IFERROR(BM2/L2,0)</f>
        <v>0.75</v>
      </c>
      <c r="BO2" s="58">
        <f t="shared" ref="BO2:BO11" si="66">FH2</f>
        <v>2</v>
      </c>
      <c r="BP2" s="57">
        <f t="shared" ref="BP2:BP11" si="67">IFERROR(BO2/L2,0)</f>
        <v>0.5</v>
      </c>
      <c r="BQ2" s="75">
        <f t="shared" ref="BQ2:BQ11" si="68">FG2-FH2</f>
        <v>1</v>
      </c>
      <c r="BR2" s="57">
        <f t="shared" ref="BR2:BR11" si="69">IFERROR(BQ2/L2,0)</f>
        <v>0.25</v>
      </c>
      <c r="BS2" s="114">
        <f t="shared" ref="BS2:BS11" si="70">IFERROR((BO2*1)/BM2,0)</f>
        <v>0.66666666666666663</v>
      </c>
      <c r="BT2" s="56">
        <f t="shared" ref="BT2:BT11" si="71">FL2</f>
        <v>1</v>
      </c>
      <c r="BU2" s="57">
        <f t="shared" ref="BU2:BU11" si="72">IFERROR(BT2/L2,0)</f>
        <v>0.25</v>
      </c>
      <c r="BV2" s="61">
        <f t="shared" ref="BV2:BV11" si="73">FB2</f>
        <v>11</v>
      </c>
      <c r="BW2" s="62">
        <f t="shared" ref="BW2:BW11" si="74">FB2/L2</f>
        <v>2.75</v>
      </c>
      <c r="BX2" s="61">
        <f t="shared" ref="BX2:BX11" si="75">FC2</f>
        <v>4</v>
      </c>
      <c r="BY2" s="62">
        <f t="shared" ref="BY2:BY11" si="76">IFERROR(FC2/L2,0)</f>
        <v>1</v>
      </c>
      <c r="BZ2" s="63">
        <f t="shared" ref="BZ2:BZ11" si="77">IFERROR((BY2*1)/BW2,0)</f>
        <v>0.36363636363636365</v>
      </c>
      <c r="CA2" s="61">
        <f t="shared" ref="CA2:CA11" si="78">FT2</f>
        <v>198</v>
      </c>
      <c r="CB2" s="62">
        <f t="shared" ref="CB2:CB11" si="79">IFERROR(CA2/L2,0)</f>
        <v>49.5</v>
      </c>
      <c r="CC2" s="61">
        <f t="shared" ref="CC2:CC11" si="80">FU2</f>
        <v>162</v>
      </c>
      <c r="CD2" s="62">
        <f t="shared" ref="CD2:CD11" si="81">IFERROR(CC2/L2,0)</f>
        <v>40.5</v>
      </c>
      <c r="CE2" s="63">
        <f t="shared" ref="CE2:CE11" si="82">IFERROR((CC2*1)/CA2,0)</f>
        <v>0.81818181818181823</v>
      </c>
      <c r="CF2" s="56">
        <f t="shared" ref="CF2:CF11" si="83">FT2-FS2</f>
        <v>193</v>
      </c>
      <c r="CG2" s="62">
        <f t="shared" ref="CG2:CG11" si="84">FU2/L2</f>
        <v>40.5</v>
      </c>
      <c r="CH2" s="61">
        <f t="shared" ref="CH2:CH11" si="85">FS2</f>
        <v>5</v>
      </c>
      <c r="CI2" s="62">
        <f t="shared" ref="CI2:CI11" si="86">CH2/L2</f>
        <v>1.25</v>
      </c>
      <c r="CJ2" s="305">
        <f t="shared" ref="CJ2:CJ11" si="87">(CH2*1)/CF2</f>
        <v>2.5906735751295335E-2</v>
      </c>
      <c r="CK2" s="360">
        <f t="shared" ref="CK2:CK11" si="88">FT2-FU2</f>
        <v>36</v>
      </c>
      <c r="CL2" s="361">
        <f t="shared" ref="CL2:CL11" si="89">CK2/L2</f>
        <v>9</v>
      </c>
      <c r="CM2" s="305">
        <f t="shared" ref="CM2:CM11" si="90">(CK2*1)/FT2</f>
        <v>0.18181818181818182</v>
      </c>
      <c r="CN2" s="210">
        <f t="shared" ref="CN2:CN11" si="91">GC2</f>
        <v>3</v>
      </c>
      <c r="CO2" s="209">
        <f t="shared" ref="CO2:CO11" si="92">IFERROR(CN2/L2,0)</f>
        <v>0.75</v>
      </c>
      <c r="CP2" s="209">
        <f t="shared" ref="CP2:CP11" si="93">IFERROR(VALUE(SUBSTITUTE(GB2,".",","))/GC2,0)</f>
        <v>0.02</v>
      </c>
      <c r="CQ2" s="210">
        <f t="shared" ref="CQ2:CQ11" si="94">IFERROR(GC2+FV2,0)</f>
        <v>3</v>
      </c>
      <c r="CR2" s="62">
        <f t="shared" ref="CR2:CR11" si="95">IFERROR(CQ2/L2,0)</f>
        <v>0.75</v>
      </c>
      <c r="CS2" s="61">
        <f t="shared" ref="CS2:CS11" si="96">((FE2)+(FG2)+(FB2))</f>
        <v>39</v>
      </c>
      <c r="CT2" s="62">
        <f t="shared" ref="CT2:CT11" si="97">CS2/L2</f>
        <v>9.75</v>
      </c>
      <c r="CU2" s="61">
        <f t="shared" ref="CU2:CU11" si="98">((FD2)+(FH2)+(FC2))</f>
        <v>27</v>
      </c>
      <c r="CV2" s="62">
        <f t="shared" ref="CV2:CV11" si="99">CU2/L2</f>
        <v>6.75</v>
      </c>
      <c r="CW2" s="372">
        <f t="shared" ref="CW2:CW11" si="100">((FE2-FD2)+(FG2-FH2)+(FB2-FC2))</f>
        <v>12</v>
      </c>
      <c r="CX2" s="373">
        <f t="shared" ref="CX2:CX11" si="101">IFERROR(CW2/L2,0)</f>
        <v>3</v>
      </c>
      <c r="CY2" s="63">
        <f t="shared" ref="CY2:CY11" si="102">IFERROR(CU2/CS2,0)</f>
        <v>0.69230769230769229</v>
      </c>
      <c r="CZ2" s="61">
        <f t="shared" ref="CZ2:CZ11" si="103">(FI2+FJ2+FM2+FO2+(FL2*0.5))</f>
        <v>41.5</v>
      </c>
      <c r="DA2" s="62">
        <f t="shared" ref="DA2:DA11" si="104">CZ2/L2</f>
        <v>10.375</v>
      </c>
      <c r="DB2" s="61">
        <f t="shared" ref="DB2:DB11" si="105">(FC2+FH2)+(FL2*0.5)</f>
        <v>6.5</v>
      </c>
      <c r="DC2" s="62">
        <f t="shared" ref="DC2:DC11" si="106">DB2/L2</f>
        <v>1.625</v>
      </c>
      <c r="DD2" s="320">
        <f t="shared" ref="DD2:DD11" si="107">IFERROR(FE2+FG2+FI2+FN2,0)</f>
        <v>35</v>
      </c>
      <c r="DE2" s="321">
        <f t="shared" ref="DE2:DE11" si="108">DD2/L2</f>
        <v>8.75</v>
      </c>
      <c r="DF2" s="320">
        <f t="shared" ref="DF2:DF11" si="109">IFERROR(FD2+FH2+FI2+FL2,0)</f>
        <v>31</v>
      </c>
      <c r="DG2" s="321">
        <f t="shared" ref="DG2:DG11" si="110">DF2/L2</f>
        <v>7.75</v>
      </c>
      <c r="DH2" s="63">
        <f t="shared" ref="DH2:DH11" si="111">IFERROR((DF2*1)/DD2,0)</f>
        <v>0.88571428571428568</v>
      </c>
      <c r="DI2" s="372">
        <f t="shared" ref="DI2:DI11" si="112">IFERROR((FE2-FD2)+(FG2-FH2)+FI2,0)</f>
        <v>12</v>
      </c>
      <c r="DJ2" s="373">
        <f t="shared" ref="DJ2:DJ11" si="113">IFERROR(DI2/L2,0)</f>
        <v>3</v>
      </c>
      <c r="DK2" s="320">
        <f t="shared" ref="DK2:DK11" si="114">FN2</f>
        <v>0</v>
      </c>
      <c r="DL2" s="62">
        <f t="shared" ref="DL2:DL11" si="115">DK2/L2</f>
        <v>0</v>
      </c>
      <c r="DM2" s="63">
        <f t="shared" ref="DM2:DM11" si="116">(DI2*1)/DD2</f>
        <v>0.34285714285714286</v>
      </c>
      <c r="DN2" s="61">
        <f t="shared" ref="DN2:DN11" si="117">EZ2</f>
        <v>0</v>
      </c>
      <c r="DO2" s="61">
        <f t="shared" ref="DO2:DO11" si="118">FA2</f>
        <v>0</v>
      </c>
      <c r="DP2" s="61">
        <f t="shared" ref="DP2:DP11" si="119">DN2+DO2</f>
        <v>0</v>
      </c>
      <c r="DQ2" s="62">
        <f t="shared" ref="DQ2:DQ11" si="120">(DN2+DO2)/L2</f>
        <v>0</v>
      </c>
      <c r="DR2" s="63">
        <f t="shared" ref="DR2:DR11" si="121">IFERROR(((DN2+DO2)*1)/FN2,0)</f>
        <v>0</v>
      </c>
      <c r="DS2" s="61">
        <f t="shared" ref="DS2:DS11" si="122">IFERROR((EW2*3)+(EZ2*1.33)+(FA2*2)+FE2+FG2+FM2+FO2+FI2+FJ2+FN2+AT2,0)</f>
        <v>69.8</v>
      </c>
      <c r="DT2" s="62">
        <f t="shared" ref="DT2:DT11" si="123">IFERROR(DS2/L2,0)</f>
        <v>17.45</v>
      </c>
      <c r="DU2" s="61">
        <f t="shared" ref="DU2:DU11" si="124">IFERROR(FD2+FH2+FM2+FO2+FI2+FJ2+FL2*1.5+AT2,0)</f>
        <v>66.3</v>
      </c>
      <c r="DV2" s="62">
        <f t="shared" ref="DV2:DV11" si="125">IFERROR(DU2/L2,0)</f>
        <v>16.574999999999999</v>
      </c>
      <c r="DW2" s="61">
        <f>IFERROR((EW2*3)+(EZ2*1.25)+(FA2*2)+FN2+CK2,0)</f>
        <v>36</v>
      </c>
      <c r="DX2" s="62">
        <f t="shared" ref="DX2:DX11" si="126">IFERROR(DW2/L2,0)</f>
        <v>9</v>
      </c>
      <c r="DY2" s="63">
        <f t="shared" ref="DY2:DY11" si="127">IFERROR(DU2/DS2,0)</f>
        <v>0.94985673352435529</v>
      </c>
      <c r="DZ2" s="62">
        <f t="shared" ref="DZ2:DZ11" si="128">VALUE(SUBSTITUTE(FP2, " km", ""))</f>
        <v>36.200000000000003</v>
      </c>
      <c r="EA2" s="62">
        <f t="shared" ref="EA2:EA11" si="129">IFERROR(DZ2/L2,0)</f>
        <v>9.0500000000000007</v>
      </c>
      <c r="EB2" s="62">
        <f t="shared" ref="EB2:EB11" si="130">FQ2</f>
        <v>2.2000000000000002</v>
      </c>
      <c r="EC2" s="61">
        <f t="shared" ref="EC2:EC11" si="131">FR2</f>
        <v>0</v>
      </c>
      <c r="ED2" s="62">
        <f t="shared" ref="ED2:ED11" si="132">IFERROR(EC2/L2,0)</f>
        <v>0</v>
      </c>
      <c r="EE2" s="61">
        <f t="shared" ref="EE2:EE11" si="133">IFERROR((FE2-FD2)+(FT2-FU2)+(FG2-FH2)+(FN2),0)</f>
        <v>41</v>
      </c>
      <c r="EF2" s="62">
        <f t="shared" ref="EF2:EF11" si="134">IFERROR((EE2/L2),0)</f>
        <v>10.25</v>
      </c>
      <c r="EG2" s="61">
        <f t="shared" ref="EG2:EG11" si="135">EH2*L2</f>
        <v>88.8</v>
      </c>
      <c r="EH2" s="62">
        <f t="shared" ref="EH2:EH11" si="136">FK2</f>
        <v>22.2</v>
      </c>
      <c r="EI2" s="62">
        <f t="shared" ref="EI2:EI11" si="137">IFERROR(VALUE(SUBSTITUTE(GE2, ".", ",")),0)</f>
        <v>6.83</v>
      </c>
      <c r="EJ2" s="298"/>
      <c r="EK2" s="294" t="s">
        <v>943</v>
      </c>
      <c r="EL2" s="294" t="s">
        <v>656</v>
      </c>
      <c r="EM2" s="294">
        <v>31</v>
      </c>
      <c r="EN2" s="392">
        <v>0</v>
      </c>
      <c r="EO2" s="294" t="s">
        <v>855</v>
      </c>
      <c r="EP2" s="294" t="s">
        <v>13</v>
      </c>
      <c r="EQ2" s="294" t="s">
        <v>790</v>
      </c>
      <c r="ER2" s="295">
        <v>46173</v>
      </c>
      <c r="ES2" s="294" t="s">
        <v>944</v>
      </c>
      <c r="ET2" s="294">
        <v>360</v>
      </c>
      <c r="EU2" s="294">
        <v>4</v>
      </c>
      <c r="EV2" s="294">
        <v>0</v>
      </c>
      <c r="EW2" s="294">
        <v>0</v>
      </c>
      <c r="EX2" s="294">
        <v>0</v>
      </c>
      <c r="EY2" s="294">
        <v>1</v>
      </c>
      <c r="EZ2" s="294">
        <v>0</v>
      </c>
      <c r="FA2" s="294">
        <v>0</v>
      </c>
      <c r="FB2" s="294">
        <v>11</v>
      </c>
      <c r="FC2" s="294">
        <v>4</v>
      </c>
      <c r="FD2" s="294">
        <v>21</v>
      </c>
      <c r="FE2" s="294">
        <v>25</v>
      </c>
      <c r="FF2" s="294">
        <v>0.2</v>
      </c>
      <c r="FG2" s="294">
        <v>3</v>
      </c>
      <c r="FH2" s="294">
        <v>2</v>
      </c>
      <c r="FI2" s="294">
        <v>7</v>
      </c>
      <c r="FJ2" s="294">
        <v>4</v>
      </c>
      <c r="FK2" s="294">
        <v>22.2</v>
      </c>
      <c r="FL2" s="294">
        <v>1</v>
      </c>
      <c r="FM2" s="294">
        <v>20</v>
      </c>
      <c r="FN2" s="294">
        <v>0</v>
      </c>
      <c r="FO2" s="294">
        <v>10</v>
      </c>
      <c r="FP2" s="294" t="s">
        <v>924</v>
      </c>
      <c r="FQ2" s="294">
        <v>2.2000000000000002</v>
      </c>
      <c r="FR2" s="294">
        <v>0</v>
      </c>
      <c r="FS2" s="294">
        <v>5</v>
      </c>
      <c r="FT2" s="294">
        <v>198</v>
      </c>
      <c r="FU2" s="294">
        <v>162</v>
      </c>
      <c r="FV2" s="294">
        <v>0</v>
      </c>
      <c r="FW2" s="294">
        <v>3</v>
      </c>
      <c r="FX2" s="294">
        <v>1</v>
      </c>
      <c r="FY2" s="294">
        <v>0</v>
      </c>
      <c r="FZ2" s="294">
        <v>0</v>
      </c>
      <c r="GA2" s="294" t="s">
        <v>897</v>
      </c>
      <c r="GB2" s="294" t="s">
        <v>815</v>
      </c>
      <c r="GC2" s="294">
        <v>3</v>
      </c>
      <c r="GD2" s="294">
        <v>0</v>
      </c>
      <c r="GE2" s="299">
        <v>6.83</v>
      </c>
    </row>
    <row r="3" spans="1:194" ht="24.95" customHeight="1" thickBot="1" x14ac:dyDescent="0.3">
      <c r="A3" s="29" t="str">
        <f t="shared" si="0"/>
        <v>2º</v>
      </c>
      <c r="B3" s="101" t="str">
        <f t="shared" si="1"/>
        <v>Kauã Victor</v>
      </c>
      <c r="C3" s="86" t="str">
        <f t="shared" si="2"/>
        <v>BRA</v>
      </c>
      <c r="D3" s="99" t="str">
        <f t="shared" si="3"/>
        <v>Somente Pé Direito</v>
      </c>
      <c r="E3" s="67" t="str">
        <f t="shared" si="4"/>
        <v>União Suzano</v>
      </c>
      <c r="F3" s="166">
        <f t="shared" si="5"/>
        <v>1.86</v>
      </c>
      <c r="G3" s="169">
        <f t="shared" si="6"/>
        <v>21</v>
      </c>
      <c r="H3" s="68">
        <f t="shared" si="7"/>
        <v>0</v>
      </c>
      <c r="I3" s="198">
        <f t="shared" si="8"/>
        <v>46140</v>
      </c>
      <c r="J3" s="301" t="str">
        <f t="shared" si="9"/>
        <v>€1,2m p/m</v>
      </c>
      <c r="K3" s="96">
        <f t="shared" si="10"/>
        <v>4.5855555555555556</v>
      </c>
      <c r="L3" s="145">
        <f t="shared" si="11"/>
        <v>5.833333333333333</v>
      </c>
      <c r="M3" s="145">
        <f t="shared" si="12"/>
        <v>6</v>
      </c>
      <c r="N3" s="145">
        <f t="shared" si="13"/>
        <v>87.5</v>
      </c>
      <c r="O3" s="190">
        <f t="shared" si="14"/>
        <v>1</v>
      </c>
      <c r="P3" s="55">
        <f t="shared" si="15"/>
        <v>0</v>
      </c>
      <c r="Q3" s="55">
        <f t="shared" si="16"/>
        <v>0</v>
      </c>
      <c r="R3" s="55">
        <f t="shared" si="17"/>
        <v>0</v>
      </c>
      <c r="S3" s="57">
        <f t="shared" si="18"/>
        <v>0</v>
      </c>
      <c r="T3" s="57">
        <f t="shared" si="19"/>
        <v>0</v>
      </c>
      <c r="U3" s="57">
        <f t="shared" si="20"/>
        <v>0.28999999999999998</v>
      </c>
      <c r="V3" s="57">
        <f t="shared" si="21"/>
        <v>4.9714285714285711E-2</v>
      </c>
      <c r="W3" s="57">
        <f t="shared" si="22"/>
        <v>0.28999999999999998</v>
      </c>
      <c r="X3" s="57">
        <f t="shared" si="23"/>
        <v>4.9714285714285711E-2</v>
      </c>
      <c r="Y3" s="57">
        <f t="shared" si="24"/>
        <v>0.19</v>
      </c>
      <c r="Z3" s="57">
        <f t="shared" si="25"/>
        <v>3.2571428571428571E-2</v>
      </c>
      <c r="AA3" s="57">
        <f t="shared" si="26"/>
        <v>0.48</v>
      </c>
      <c r="AB3" s="57">
        <f t="shared" si="27"/>
        <v>8.2285714285714281E-2</v>
      </c>
      <c r="AC3" s="56">
        <f t="shared" si="28"/>
        <v>0</v>
      </c>
      <c r="AD3" s="57">
        <f t="shared" si="29"/>
        <v>5400</v>
      </c>
      <c r="AE3" s="63">
        <f t="shared" si="30"/>
        <v>0</v>
      </c>
      <c r="AF3" s="306">
        <f t="shared" si="31"/>
        <v>0</v>
      </c>
      <c r="AG3" s="306">
        <f t="shared" si="32"/>
        <v>0</v>
      </c>
      <c r="AH3" s="56">
        <f t="shared" si="33"/>
        <v>0</v>
      </c>
      <c r="AI3" s="60">
        <f t="shared" si="34"/>
        <v>9.9999999999999995E-8</v>
      </c>
      <c r="AJ3" s="302">
        <f t="shared" si="35"/>
        <v>0</v>
      </c>
      <c r="AK3" s="303">
        <f t="shared" si="36"/>
        <v>0</v>
      </c>
      <c r="AL3" s="56">
        <f t="shared" si="37"/>
        <v>42</v>
      </c>
      <c r="AM3" s="57">
        <f t="shared" si="38"/>
        <v>7.2</v>
      </c>
      <c r="AN3" s="56">
        <f t="shared" si="39"/>
        <v>35</v>
      </c>
      <c r="AO3" s="57">
        <f t="shared" si="40"/>
        <v>6</v>
      </c>
      <c r="AP3" s="60">
        <f t="shared" si="41"/>
        <v>0.83333333333333337</v>
      </c>
      <c r="AQ3" s="56">
        <f t="shared" si="42"/>
        <v>7</v>
      </c>
      <c r="AR3" s="57">
        <f t="shared" si="43"/>
        <v>1.2</v>
      </c>
      <c r="AS3" s="60">
        <f t="shared" si="44"/>
        <v>0.16666666666666666</v>
      </c>
      <c r="AT3" s="210">
        <f t="shared" si="45"/>
        <v>4.083333333333333</v>
      </c>
      <c r="AU3" s="209">
        <f t="shared" si="46"/>
        <v>0.7</v>
      </c>
      <c r="AV3" s="63">
        <f t="shared" si="47"/>
        <v>4.7619047619047616E-2</v>
      </c>
      <c r="AW3" s="210">
        <f t="shared" si="48"/>
        <v>2</v>
      </c>
      <c r="AX3" s="209">
        <f t="shared" si="49"/>
        <v>0.34285714285714286</v>
      </c>
      <c r="AY3" s="210">
        <f t="shared" si="50"/>
        <v>1</v>
      </c>
      <c r="AZ3" s="209">
        <f t="shared" si="51"/>
        <v>0.17142857142857143</v>
      </c>
      <c r="BA3" s="63">
        <f t="shared" si="52"/>
        <v>0.5</v>
      </c>
      <c r="BB3" s="358">
        <f t="shared" si="53"/>
        <v>0.14499999999999999</v>
      </c>
      <c r="BC3" s="357">
        <f t="shared" si="54"/>
        <v>0.28999999999999998</v>
      </c>
      <c r="BD3" s="357">
        <f t="shared" si="55"/>
        <v>-0.28999999999999998</v>
      </c>
      <c r="BE3" s="357">
        <f t="shared" si="56"/>
        <v>-0.28999999999999998</v>
      </c>
      <c r="BF3" s="56">
        <f t="shared" si="57"/>
        <v>42</v>
      </c>
      <c r="BG3" s="57">
        <f t="shared" si="58"/>
        <v>7.2</v>
      </c>
      <c r="BH3" s="56">
        <f t="shared" si="59"/>
        <v>7</v>
      </c>
      <c r="BI3" s="57">
        <f t="shared" si="60"/>
        <v>1.2</v>
      </c>
      <c r="BJ3" s="57">
        <f t="shared" si="61"/>
        <v>7.5428571428571436</v>
      </c>
      <c r="BK3" s="222">
        <f t="shared" si="62"/>
        <v>6</v>
      </c>
      <c r="BL3" s="220">
        <f t="shared" si="63"/>
        <v>1.0285714285714287</v>
      </c>
      <c r="BM3" s="56">
        <f t="shared" si="64"/>
        <v>4</v>
      </c>
      <c r="BN3" s="57">
        <f t="shared" si="65"/>
        <v>0.68571428571428572</v>
      </c>
      <c r="BO3" s="58">
        <f t="shared" si="66"/>
        <v>3</v>
      </c>
      <c r="BP3" s="57">
        <f t="shared" si="67"/>
        <v>0.51428571428571435</v>
      </c>
      <c r="BQ3" s="75">
        <f t="shared" si="68"/>
        <v>0</v>
      </c>
      <c r="BR3" s="57">
        <f t="shared" si="69"/>
        <v>0</v>
      </c>
      <c r="BS3" s="114">
        <f t="shared" si="70"/>
        <v>0.75</v>
      </c>
      <c r="BT3" s="56">
        <f t="shared" si="71"/>
        <v>2</v>
      </c>
      <c r="BU3" s="57">
        <f t="shared" si="72"/>
        <v>0.34285714285714286</v>
      </c>
      <c r="BV3" s="61">
        <f t="shared" si="73"/>
        <v>11</v>
      </c>
      <c r="BW3" s="62">
        <f t="shared" si="74"/>
        <v>1.8857142857142859</v>
      </c>
      <c r="BX3" s="61">
        <f t="shared" si="75"/>
        <v>5</v>
      </c>
      <c r="BY3" s="62">
        <f t="shared" si="76"/>
        <v>0.85714285714285721</v>
      </c>
      <c r="BZ3" s="63">
        <f t="shared" si="77"/>
        <v>0.45454545454545453</v>
      </c>
      <c r="CA3" s="61">
        <f t="shared" si="78"/>
        <v>250</v>
      </c>
      <c r="CB3" s="62">
        <f t="shared" si="79"/>
        <v>42.857142857142861</v>
      </c>
      <c r="CC3" s="61">
        <f t="shared" si="80"/>
        <v>230</v>
      </c>
      <c r="CD3" s="62">
        <f t="shared" si="81"/>
        <v>39.428571428571431</v>
      </c>
      <c r="CE3" s="63">
        <f t="shared" si="82"/>
        <v>0.92</v>
      </c>
      <c r="CF3" s="56">
        <f t="shared" si="83"/>
        <v>240</v>
      </c>
      <c r="CG3" s="62">
        <f t="shared" si="84"/>
        <v>39.428571428571431</v>
      </c>
      <c r="CH3" s="61">
        <f t="shared" si="85"/>
        <v>10</v>
      </c>
      <c r="CI3" s="62">
        <f t="shared" si="86"/>
        <v>1.7142857142857144</v>
      </c>
      <c r="CJ3" s="305">
        <f t="shared" si="87"/>
        <v>4.1666666666666664E-2</v>
      </c>
      <c r="CK3" s="360">
        <f t="shared" si="88"/>
        <v>20</v>
      </c>
      <c r="CL3" s="361">
        <f t="shared" si="89"/>
        <v>3.4285714285714288</v>
      </c>
      <c r="CM3" s="305">
        <f t="shared" si="90"/>
        <v>0.08</v>
      </c>
      <c r="CN3" s="210">
        <f t="shared" si="91"/>
        <v>1</v>
      </c>
      <c r="CO3" s="209">
        <f t="shared" si="92"/>
        <v>0.17142857142857143</v>
      </c>
      <c r="CP3" s="209">
        <f t="shared" si="93"/>
        <v>0.19</v>
      </c>
      <c r="CQ3" s="210">
        <f t="shared" si="94"/>
        <v>1</v>
      </c>
      <c r="CR3" s="62">
        <f t="shared" si="95"/>
        <v>0.17142857142857143</v>
      </c>
      <c r="CS3" s="61">
        <f t="shared" si="96"/>
        <v>56</v>
      </c>
      <c r="CT3" s="62">
        <f t="shared" si="97"/>
        <v>9.6</v>
      </c>
      <c r="CU3" s="61">
        <f t="shared" si="98"/>
        <v>43</v>
      </c>
      <c r="CV3" s="62">
        <f t="shared" si="99"/>
        <v>7.3714285714285719</v>
      </c>
      <c r="CW3" s="372">
        <f t="shared" si="100"/>
        <v>13</v>
      </c>
      <c r="CX3" s="373">
        <f t="shared" si="101"/>
        <v>2.2285714285714286</v>
      </c>
      <c r="CY3" s="63">
        <f t="shared" si="102"/>
        <v>0.7678571428571429</v>
      </c>
      <c r="CZ3" s="61">
        <f t="shared" si="103"/>
        <v>49</v>
      </c>
      <c r="DA3" s="62">
        <f t="shared" si="104"/>
        <v>8.4</v>
      </c>
      <c r="DB3" s="61">
        <f t="shared" si="105"/>
        <v>9</v>
      </c>
      <c r="DC3" s="62">
        <f t="shared" si="106"/>
        <v>1.5428571428571429</v>
      </c>
      <c r="DD3" s="320">
        <f t="shared" si="107"/>
        <v>52</v>
      </c>
      <c r="DE3" s="321">
        <f t="shared" si="108"/>
        <v>8.9142857142857146</v>
      </c>
      <c r="DF3" s="320">
        <f t="shared" si="109"/>
        <v>46</v>
      </c>
      <c r="DG3" s="321">
        <f t="shared" si="110"/>
        <v>7.8857142857142861</v>
      </c>
      <c r="DH3" s="63">
        <f t="shared" si="111"/>
        <v>0.88461538461538458</v>
      </c>
      <c r="DI3" s="372">
        <f t="shared" si="112"/>
        <v>13</v>
      </c>
      <c r="DJ3" s="373">
        <f t="shared" si="113"/>
        <v>2.2285714285714286</v>
      </c>
      <c r="DK3" s="320">
        <f t="shared" si="114"/>
        <v>1</v>
      </c>
      <c r="DL3" s="62">
        <f t="shared" si="115"/>
        <v>0.17142857142857143</v>
      </c>
      <c r="DM3" s="63">
        <f t="shared" si="116"/>
        <v>0.25</v>
      </c>
      <c r="DN3" s="61">
        <f t="shared" si="117"/>
        <v>0</v>
      </c>
      <c r="DO3" s="61">
        <f t="shared" si="118"/>
        <v>0</v>
      </c>
      <c r="DP3" s="61">
        <f t="shared" si="119"/>
        <v>0</v>
      </c>
      <c r="DQ3" s="62">
        <f t="shared" si="120"/>
        <v>0</v>
      </c>
      <c r="DR3" s="63">
        <f t="shared" si="121"/>
        <v>0</v>
      </c>
      <c r="DS3" s="61">
        <f t="shared" si="122"/>
        <v>98.083333333333329</v>
      </c>
      <c r="DT3" s="62">
        <f t="shared" si="123"/>
        <v>16.814285714285713</v>
      </c>
      <c r="DU3" s="61">
        <f t="shared" si="124"/>
        <v>93.083333333333329</v>
      </c>
      <c r="DV3" s="62">
        <f t="shared" si="125"/>
        <v>15.957142857142857</v>
      </c>
      <c r="DW3" s="61">
        <f t="shared" ref="DW3:DW11" si="138">IFERROR((EW3*3)+(EZ3*1.25)+(FA3*2)+FN3+CK3,0)</f>
        <v>21</v>
      </c>
      <c r="DX3" s="62">
        <f t="shared" si="126"/>
        <v>3.6</v>
      </c>
      <c r="DY3" s="63">
        <f t="shared" si="127"/>
        <v>0.94902293967714524</v>
      </c>
      <c r="DZ3" s="62">
        <f t="shared" si="128"/>
        <v>55.9</v>
      </c>
      <c r="EA3" s="62">
        <f t="shared" si="129"/>
        <v>9.5828571428571436</v>
      </c>
      <c r="EB3" s="62">
        <f t="shared" si="130"/>
        <v>3.6</v>
      </c>
      <c r="EC3" s="61">
        <f t="shared" si="131"/>
        <v>0</v>
      </c>
      <c r="ED3" s="62">
        <f t="shared" si="132"/>
        <v>0</v>
      </c>
      <c r="EE3" s="61">
        <f t="shared" si="133"/>
        <v>28</v>
      </c>
      <c r="EF3" s="62">
        <f t="shared" si="134"/>
        <v>4.8</v>
      </c>
      <c r="EG3" s="61">
        <f t="shared" si="135"/>
        <v>103.24999999999999</v>
      </c>
      <c r="EH3" s="62">
        <f t="shared" si="136"/>
        <v>17.7</v>
      </c>
      <c r="EI3" s="62">
        <f t="shared" si="137"/>
        <v>7.1</v>
      </c>
      <c r="EJ3" s="298" t="s">
        <v>19</v>
      </c>
      <c r="EK3" s="294" t="s">
        <v>934</v>
      </c>
      <c r="EL3" s="294" t="s">
        <v>557</v>
      </c>
      <c r="EM3" s="294">
        <v>21</v>
      </c>
      <c r="EN3" s="392">
        <v>0</v>
      </c>
      <c r="EO3" s="294" t="s">
        <v>855</v>
      </c>
      <c r="EP3" s="294" t="s">
        <v>13</v>
      </c>
      <c r="EQ3" s="294" t="s">
        <v>602</v>
      </c>
      <c r="ER3" s="295">
        <v>46140</v>
      </c>
      <c r="ES3" s="294" t="s">
        <v>869</v>
      </c>
      <c r="ET3" s="294">
        <v>525</v>
      </c>
      <c r="EU3" s="294">
        <v>6</v>
      </c>
      <c r="EV3" s="294">
        <v>0</v>
      </c>
      <c r="EW3" s="294">
        <v>0</v>
      </c>
      <c r="EX3" s="294">
        <v>0</v>
      </c>
      <c r="EY3" s="294">
        <v>0</v>
      </c>
      <c r="EZ3" s="294">
        <v>0</v>
      </c>
      <c r="FA3" s="294">
        <v>0</v>
      </c>
      <c r="FB3" s="294">
        <v>11</v>
      </c>
      <c r="FC3" s="294">
        <v>5</v>
      </c>
      <c r="FD3" s="294">
        <v>35</v>
      </c>
      <c r="FE3" s="294">
        <v>42</v>
      </c>
      <c r="FF3" s="294">
        <v>0.7</v>
      </c>
      <c r="FG3" s="294">
        <v>3</v>
      </c>
      <c r="FH3" s="294">
        <v>3</v>
      </c>
      <c r="FI3" s="294">
        <v>6</v>
      </c>
      <c r="FJ3" s="294">
        <v>7</v>
      </c>
      <c r="FK3" s="294">
        <v>17.7</v>
      </c>
      <c r="FL3" s="294">
        <v>2</v>
      </c>
      <c r="FM3" s="294">
        <v>29</v>
      </c>
      <c r="FN3" s="294">
        <v>1</v>
      </c>
      <c r="FO3" s="294">
        <v>6</v>
      </c>
      <c r="FP3" s="294" t="s">
        <v>935</v>
      </c>
      <c r="FQ3" s="294">
        <v>3.6</v>
      </c>
      <c r="FR3" s="294">
        <v>0</v>
      </c>
      <c r="FS3" s="294">
        <v>10</v>
      </c>
      <c r="FT3" s="294">
        <v>250</v>
      </c>
      <c r="FU3" s="294">
        <v>230</v>
      </c>
      <c r="FV3" s="294">
        <v>0</v>
      </c>
      <c r="FW3" s="294">
        <v>2</v>
      </c>
      <c r="FX3" s="294">
        <v>1</v>
      </c>
      <c r="FY3" s="294">
        <v>0</v>
      </c>
      <c r="FZ3" s="294">
        <v>0</v>
      </c>
      <c r="GA3" s="294" t="s">
        <v>925</v>
      </c>
      <c r="GB3" s="294" t="s">
        <v>856</v>
      </c>
      <c r="GC3" s="294">
        <v>1</v>
      </c>
      <c r="GD3" s="294">
        <v>0</v>
      </c>
      <c r="GE3" s="299">
        <v>7.1</v>
      </c>
    </row>
    <row r="4" spans="1:194" ht="24.95" customHeight="1" thickBot="1" x14ac:dyDescent="0.3">
      <c r="A4" s="29" t="str">
        <f t="shared" si="0"/>
        <v>3º</v>
      </c>
      <c r="B4" s="101" t="str">
        <f t="shared" si="1"/>
        <v>Joanderson</v>
      </c>
      <c r="C4" s="86" t="str">
        <f t="shared" si="2"/>
        <v>BRA</v>
      </c>
      <c r="D4" s="99" t="str">
        <f t="shared" si="3"/>
        <v>Pé Direito</v>
      </c>
      <c r="E4" s="67" t="str">
        <f t="shared" si="4"/>
        <v>Linense (SP)</v>
      </c>
      <c r="F4" s="166">
        <f t="shared" si="5"/>
        <v>1.98</v>
      </c>
      <c r="G4" s="169">
        <f t="shared" si="6"/>
        <v>27</v>
      </c>
      <c r="H4" s="68">
        <f t="shared" si="7"/>
        <v>0</v>
      </c>
      <c r="I4" s="198">
        <f t="shared" si="8"/>
        <v>46157</v>
      </c>
      <c r="J4" s="301" t="str">
        <f t="shared" si="9"/>
        <v>€2,2m p/m</v>
      </c>
      <c r="K4" s="96">
        <f t="shared" si="10"/>
        <v>4.5855555555555556</v>
      </c>
      <c r="L4" s="145">
        <f t="shared" si="11"/>
        <v>5.8888888888888893</v>
      </c>
      <c r="M4" s="145">
        <f t="shared" si="12"/>
        <v>6</v>
      </c>
      <c r="N4" s="145">
        <f t="shared" si="13"/>
        <v>88.333333333333329</v>
      </c>
      <c r="O4" s="190">
        <f t="shared" si="14"/>
        <v>1</v>
      </c>
      <c r="P4" s="55">
        <f t="shared" si="15"/>
        <v>0</v>
      </c>
      <c r="Q4" s="55">
        <f t="shared" si="16"/>
        <v>0</v>
      </c>
      <c r="R4" s="55">
        <f t="shared" si="17"/>
        <v>0</v>
      </c>
      <c r="S4" s="57">
        <f t="shared" si="18"/>
        <v>0</v>
      </c>
      <c r="T4" s="57">
        <f t="shared" si="19"/>
        <v>0</v>
      </c>
      <c r="U4" s="57">
        <f t="shared" si="20"/>
        <v>0.25</v>
      </c>
      <c r="V4" s="57">
        <f t="shared" si="21"/>
        <v>4.2452830188679243E-2</v>
      </c>
      <c r="W4" s="57">
        <f t="shared" si="22"/>
        <v>0.25</v>
      </c>
      <c r="X4" s="57">
        <f t="shared" si="23"/>
        <v>4.2452830188679243E-2</v>
      </c>
      <c r="Y4" s="57">
        <f t="shared" si="24"/>
        <v>0</v>
      </c>
      <c r="Z4" s="57">
        <f t="shared" si="25"/>
        <v>0</v>
      </c>
      <c r="AA4" s="57">
        <f t="shared" si="26"/>
        <v>0.25</v>
      </c>
      <c r="AB4" s="57">
        <f t="shared" si="27"/>
        <v>4.2452830188679243E-2</v>
      </c>
      <c r="AC4" s="56">
        <f t="shared" si="28"/>
        <v>0</v>
      </c>
      <c r="AD4" s="57">
        <f t="shared" si="29"/>
        <v>5400</v>
      </c>
      <c r="AE4" s="63">
        <f t="shared" si="30"/>
        <v>0</v>
      </c>
      <c r="AF4" s="306">
        <f t="shared" si="31"/>
        <v>0</v>
      </c>
      <c r="AG4" s="306">
        <f t="shared" si="32"/>
        <v>0</v>
      </c>
      <c r="AH4" s="56">
        <f t="shared" si="33"/>
        <v>0</v>
      </c>
      <c r="AI4" s="60">
        <f t="shared" si="34"/>
        <v>9.9999999999999995E-8</v>
      </c>
      <c r="AJ4" s="302">
        <f t="shared" si="35"/>
        <v>0</v>
      </c>
      <c r="AK4" s="303">
        <f t="shared" si="36"/>
        <v>0</v>
      </c>
      <c r="AL4" s="56">
        <f t="shared" si="37"/>
        <v>38</v>
      </c>
      <c r="AM4" s="57">
        <f t="shared" si="38"/>
        <v>6.4528301886792452</v>
      </c>
      <c r="AN4" s="56">
        <f t="shared" si="39"/>
        <v>32</v>
      </c>
      <c r="AO4" s="57">
        <f t="shared" si="40"/>
        <v>5.4339622641509431</v>
      </c>
      <c r="AP4" s="60">
        <f t="shared" si="41"/>
        <v>0.84210526315789469</v>
      </c>
      <c r="AQ4" s="56">
        <f t="shared" si="42"/>
        <v>6</v>
      </c>
      <c r="AR4" s="57">
        <f t="shared" si="43"/>
        <v>1.0188679245283019</v>
      </c>
      <c r="AS4" s="60">
        <f t="shared" si="44"/>
        <v>0.15789473684210525</v>
      </c>
      <c r="AT4" s="210">
        <f t="shared" si="45"/>
        <v>11.777777777777779</v>
      </c>
      <c r="AU4" s="209">
        <f t="shared" si="46"/>
        <v>2</v>
      </c>
      <c r="AV4" s="63">
        <f t="shared" si="47"/>
        <v>5.2631578947368418E-2</v>
      </c>
      <c r="AW4" s="210">
        <f t="shared" si="48"/>
        <v>2</v>
      </c>
      <c r="AX4" s="209">
        <f t="shared" si="49"/>
        <v>0.33962264150943394</v>
      </c>
      <c r="AY4" s="210">
        <f t="shared" si="50"/>
        <v>0</v>
      </c>
      <c r="AZ4" s="209">
        <f t="shared" si="51"/>
        <v>0</v>
      </c>
      <c r="BA4" s="63">
        <f t="shared" si="52"/>
        <v>0</v>
      </c>
      <c r="BB4" s="358">
        <f t="shared" si="53"/>
        <v>0.125</v>
      </c>
      <c r="BC4" s="357">
        <f t="shared" si="54"/>
        <v>0.25</v>
      </c>
      <c r="BD4" s="357">
        <f t="shared" si="55"/>
        <v>-0.25</v>
      </c>
      <c r="BE4" s="357">
        <f t="shared" si="56"/>
        <v>-0.25</v>
      </c>
      <c r="BF4" s="56">
        <f t="shared" si="57"/>
        <v>25</v>
      </c>
      <c r="BG4" s="57">
        <f t="shared" si="58"/>
        <v>4.2452830188679238</v>
      </c>
      <c r="BH4" s="56">
        <f t="shared" si="59"/>
        <v>2</v>
      </c>
      <c r="BI4" s="57">
        <f t="shared" si="60"/>
        <v>0.33962264150943394</v>
      </c>
      <c r="BJ4" s="57">
        <f t="shared" si="61"/>
        <v>4.5849056603773581</v>
      </c>
      <c r="BK4" s="222">
        <f t="shared" si="62"/>
        <v>9</v>
      </c>
      <c r="BL4" s="220">
        <f t="shared" si="63"/>
        <v>1.5283018867924527</v>
      </c>
      <c r="BM4" s="56">
        <f t="shared" si="64"/>
        <v>5</v>
      </c>
      <c r="BN4" s="57">
        <f t="shared" si="65"/>
        <v>0.84905660377358483</v>
      </c>
      <c r="BO4" s="58">
        <f t="shared" si="66"/>
        <v>2</v>
      </c>
      <c r="BP4" s="57">
        <f t="shared" si="67"/>
        <v>0.33962264150943394</v>
      </c>
      <c r="BQ4" s="75">
        <f t="shared" si="68"/>
        <v>1</v>
      </c>
      <c r="BR4" s="57">
        <f t="shared" si="69"/>
        <v>0.16981132075471697</v>
      </c>
      <c r="BS4" s="114">
        <f t="shared" si="70"/>
        <v>0.4</v>
      </c>
      <c r="BT4" s="56">
        <f t="shared" si="71"/>
        <v>2</v>
      </c>
      <c r="BU4" s="57">
        <f t="shared" si="72"/>
        <v>0.33962264150943394</v>
      </c>
      <c r="BV4" s="61">
        <f t="shared" si="73"/>
        <v>10</v>
      </c>
      <c r="BW4" s="62">
        <f t="shared" si="74"/>
        <v>1.6981132075471697</v>
      </c>
      <c r="BX4" s="61">
        <f t="shared" si="75"/>
        <v>2</v>
      </c>
      <c r="BY4" s="62">
        <f t="shared" si="76"/>
        <v>0.33962264150943394</v>
      </c>
      <c r="BZ4" s="63">
        <f t="shared" si="77"/>
        <v>0.2</v>
      </c>
      <c r="CA4" s="61">
        <f t="shared" si="78"/>
        <v>294</v>
      </c>
      <c r="CB4" s="62">
        <f t="shared" si="79"/>
        <v>49.924528301886788</v>
      </c>
      <c r="CC4" s="61">
        <f t="shared" si="80"/>
        <v>273</v>
      </c>
      <c r="CD4" s="62">
        <f t="shared" si="81"/>
        <v>46.35849056603773</v>
      </c>
      <c r="CE4" s="63">
        <f t="shared" si="82"/>
        <v>0.9285714285714286</v>
      </c>
      <c r="CF4" s="56">
        <f t="shared" si="83"/>
        <v>279</v>
      </c>
      <c r="CG4" s="62">
        <f t="shared" si="84"/>
        <v>46.35849056603773</v>
      </c>
      <c r="CH4" s="61">
        <f t="shared" si="85"/>
        <v>15</v>
      </c>
      <c r="CI4" s="62">
        <f t="shared" si="86"/>
        <v>2.5471698113207544</v>
      </c>
      <c r="CJ4" s="305">
        <f t="shared" si="87"/>
        <v>5.3763440860215055E-2</v>
      </c>
      <c r="CK4" s="360">
        <f t="shared" si="88"/>
        <v>21</v>
      </c>
      <c r="CL4" s="361">
        <f t="shared" si="89"/>
        <v>3.5660377358490565</v>
      </c>
      <c r="CM4" s="305">
        <f t="shared" si="90"/>
        <v>7.1428571428571425E-2</v>
      </c>
      <c r="CN4" s="210">
        <f t="shared" si="91"/>
        <v>1</v>
      </c>
      <c r="CO4" s="209">
        <f t="shared" si="92"/>
        <v>0.16981132075471697</v>
      </c>
      <c r="CP4" s="209">
        <f t="shared" si="93"/>
        <v>0</v>
      </c>
      <c r="CQ4" s="210">
        <f t="shared" si="94"/>
        <v>1</v>
      </c>
      <c r="CR4" s="62">
        <f t="shared" si="95"/>
        <v>0.16981132075471697</v>
      </c>
      <c r="CS4" s="61">
        <f t="shared" si="96"/>
        <v>51</v>
      </c>
      <c r="CT4" s="62">
        <f t="shared" si="97"/>
        <v>8.6603773584905657</v>
      </c>
      <c r="CU4" s="61">
        <f t="shared" si="98"/>
        <v>36</v>
      </c>
      <c r="CV4" s="62">
        <f t="shared" si="99"/>
        <v>6.1132075471698109</v>
      </c>
      <c r="CW4" s="372">
        <f t="shared" si="100"/>
        <v>15</v>
      </c>
      <c r="CX4" s="373">
        <f t="shared" si="101"/>
        <v>2.5471698113207544</v>
      </c>
      <c r="CY4" s="63">
        <f t="shared" si="102"/>
        <v>0.70588235294117652</v>
      </c>
      <c r="CZ4" s="61">
        <f t="shared" si="103"/>
        <v>35</v>
      </c>
      <c r="DA4" s="62">
        <f t="shared" si="104"/>
        <v>5.9433962264150937</v>
      </c>
      <c r="DB4" s="61">
        <f t="shared" si="105"/>
        <v>5</v>
      </c>
      <c r="DC4" s="62">
        <f t="shared" si="106"/>
        <v>0.84905660377358483</v>
      </c>
      <c r="DD4" s="320">
        <f t="shared" si="107"/>
        <v>46</v>
      </c>
      <c r="DE4" s="321">
        <f t="shared" si="108"/>
        <v>7.8113207547169807</v>
      </c>
      <c r="DF4" s="320">
        <f t="shared" si="109"/>
        <v>39</v>
      </c>
      <c r="DG4" s="321">
        <f t="shared" si="110"/>
        <v>6.6226415094339615</v>
      </c>
      <c r="DH4" s="63">
        <f t="shared" si="111"/>
        <v>0.84782608695652173</v>
      </c>
      <c r="DI4" s="372">
        <f t="shared" si="112"/>
        <v>10</v>
      </c>
      <c r="DJ4" s="373">
        <f t="shared" si="113"/>
        <v>1.6981132075471697</v>
      </c>
      <c r="DK4" s="320">
        <f t="shared" si="114"/>
        <v>2</v>
      </c>
      <c r="DL4" s="62">
        <f t="shared" si="115"/>
        <v>0.33962264150943394</v>
      </c>
      <c r="DM4" s="63">
        <f t="shared" si="116"/>
        <v>0.21739130434782608</v>
      </c>
      <c r="DN4" s="61">
        <f t="shared" si="117"/>
        <v>0</v>
      </c>
      <c r="DO4" s="61">
        <f t="shared" si="118"/>
        <v>0</v>
      </c>
      <c r="DP4" s="61">
        <f t="shared" si="119"/>
        <v>0</v>
      </c>
      <c r="DQ4" s="62">
        <f t="shared" si="120"/>
        <v>0</v>
      </c>
      <c r="DR4" s="63">
        <f t="shared" si="121"/>
        <v>0</v>
      </c>
      <c r="DS4" s="61">
        <f t="shared" si="122"/>
        <v>88.777777777777771</v>
      </c>
      <c r="DT4" s="62">
        <f t="shared" si="123"/>
        <v>15.075471698113205</v>
      </c>
      <c r="DU4" s="61">
        <f t="shared" si="124"/>
        <v>82.777777777777771</v>
      </c>
      <c r="DV4" s="62">
        <f t="shared" si="125"/>
        <v>14.056603773584904</v>
      </c>
      <c r="DW4" s="61">
        <f t="shared" si="138"/>
        <v>23</v>
      </c>
      <c r="DX4" s="62">
        <f t="shared" si="126"/>
        <v>3.9056603773584904</v>
      </c>
      <c r="DY4" s="63">
        <f t="shared" si="127"/>
        <v>0.93241551939924905</v>
      </c>
      <c r="DZ4" s="62">
        <f t="shared" si="128"/>
        <v>51.6</v>
      </c>
      <c r="EA4" s="62">
        <f t="shared" si="129"/>
        <v>8.7622641509433965</v>
      </c>
      <c r="EB4" s="62">
        <f t="shared" si="130"/>
        <v>3.1</v>
      </c>
      <c r="EC4" s="61">
        <f t="shared" si="131"/>
        <v>0</v>
      </c>
      <c r="ED4" s="62">
        <f t="shared" si="132"/>
        <v>0</v>
      </c>
      <c r="EE4" s="61">
        <f t="shared" si="133"/>
        <v>30</v>
      </c>
      <c r="EF4" s="62">
        <f t="shared" si="134"/>
        <v>5.0943396226415087</v>
      </c>
      <c r="EG4" s="61">
        <f t="shared" si="135"/>
        <v>67.13333333333334</v>
      </c>
      <c r="EH4" s="62">
        <f t="shared" si="136"/>
        <v>11.4</v>
      </c>
      <c r="EI4" s="62">
        <f t="shared" si="137"/>
        <v>6.88</v>
      </c>
      <c r="EJ4" s="296"/>
      <c r="EK4" s="292" t="s">
        <v>929</v>
      </c>
      <c r="EL4" s="292" t="s">
        <v>930</v>
      </c>
      <c r="EM4" s="292">
        <v>27</v>
      </c>
      <c r="EN4" s="393">
        <v>0</v>
      </c>
      <c r="EO4" s="292" t="s">
        <v>931</v>
      </c>
      <c r="EP4" s="292" t="s">
        <v>13</v>
      </c>
      <c r="EQ4" s="292" t="s">
        <v>601</v>
      </c>
      <c r="ER4" s="293">
        <v>46157</v>
      </c>
      <c r="ES4" s="292" t="s">
        <v>911</v>
      </c>
      <c r="ET4" s="292">
        <v>530</v>
      </c>
      <c r="EU4" s="292">
        <v>6</v>
      </c>
      <c r="EV4" s="292">
        <v>0</v>
      </c>
      <c r="EW4" s="292">
        <v>0</v>
      </c>
      <c r="EX4" s="292">
        <v>0</v>
      </c>
      <c r="EY4" s="292">
        <v>0</v>
      </c>
      <c r="EZ4" s="292">
        <v>0</v>
      </c>
      <c r="FA4" s="292">
        <v>0</v>
      </c>
      <c r="FB4" s="292">
        <v>10</v>
      </c>
      <c r="FC4" s="292">
        <v>2</v>
      </c>
      <c r="FD4" s="292">
        <v>32</v>
      </c>
      <c r="FE4" s="292">
        <v>38</v>
      </c>
      <c r="FF4" s="292">
        <v>2</v>
      </c>
      <c r="FG4" s="292">
        <v>3</v>
      </c>
      <c r="FH4" s="292">
        <v>2</v>
      </c>
      <c r="FI4" s="292">
        <v>3</v>
      </c>
      <c r="FJ4" s="292">
        <v>2</v>
      </c>
      <c r="FK4" s="292">
        <v>11.4</v>
      </c>
      <c r="FL4" s="292">
        <v>2</v>
      </c>
      <c r="FM4" s="292">
        <v>20</v>
      </c>
      <c r="FN4" s="292">
        <v>2</v>
      </c>
      <c r="FO4" s="292">
        <v>9</v>
      </c>
      <c r="FP4" s="292" t="s">
        <v>932</v>
      </c>
      <c r="FQ4" s="292">
        <v>3.1</v>
      </c>
      <c r="FR4" s="292">
        <v>0</v>
      </c>
      <c r="FS4" s="292">
        <v>15</v>
      </c>
      <c r="FT4" s="292">
        <v>294</v>
      </c>
      <c r="FU4" s="292">
        <v>273</v>
      </c>
      <c r="FV4" s="292">
        <v>0</v>
      </c>
      <c r="FW4" s="292">
        <v>2</v>
      </c>
      <c r="FX4" s="292">
        <v>0</v>
      </c>
      <c r="FY4" s="292">
        <v>0</v>
      </c>
      <c r="FZ4" s="292">
        <v>0</v>
      </c>
      <c r="GA4" s="292" t="s">
        <v>865</v>
      </c>
      <c r="GB4" s="292">
        <v>0</v>
      </c>
      <c r="GC4" s="292">
        <v>1</v>
      </c>
      <c r="GD4" s="292">
        <v>0</v>
      </c>
      <c r="GE4" s="297">
        <v>6.88</v>
      </c>
    </row>
    <row r="5" spans="1:194" ht="24.95" customHeight="1" thickBot="1" x14ac:dyDescent="0.3">
      <c r="A5" s="29" t="str">
        <f t="shared" si="0"/>
        <v>4º</v>
      </c>
      <c r="B5" s="101" t="str">
        <f t="shared" si="1"/>
        <v>Davy Einstein</v>
      </c>
      <c r="C5" s="86" t="str">
        <f t="shared" si="2"/>
        <v>BRA</v>
      </c>
      <c r="D5" s="99" t="str">
        <f t="shared" si="3"/>
        <v>Somente Pé Direito</v>
      </c>
      <c r="E5" s="67" t="str">
        <f t="shared" si="4"/>
        <v>Inhumas</v>
      </c>
      <c r="F5" s="166">
        <f t="shared" si="5"/>
        <v>1.9</v>
      </c>
      <c r="G5" s="169">
        <f t="shared" si="6"/>
        <v>31</v>
      </c>
      <c r="H5" s="68">
        <f t="shared" si="7"/>
        <v>0</v>
      </c>
      <c r="I5" s="198">
        <f t="shared" si="8"/>
        <v>46173</v>
      </c>
      <c r="J5" s="301" t="str">
        <f t="shared" si="9"/>
        <v>€1,2m p/m</v>
      </c>
      <c r="K5" s="96">
        <f t="shared" si="10"/>
        <v>4.5855555555555556</v>
      </c>
      <c r="L5" s="145">
        <f t="shared" si="11"/>
        <v>4.9666666666666668</v>
      </c>
      <c r="M5" s="145">
        <f t="shared" si="12"/>
        <v>5</v>
      </c>
      <c r="N5" s="145">
        <f t="shared" si="13"/>
        <v>89.4</v>
      </c>
      <c r="O5" s="190">
        <f t="shared" si="14"/>
        <v>1</v>
      </c>
      <c r="P5" s="55">
        <f t="shared" si="15"/>
        <v>0</v>
      </c>
      <c r="Q5" s="55">
        <f t="shared" si="16"/>
        <v>0</v>
      </c>
      <c r="R5" s="55">
        <f t="shared" si="17"/>
        <v>0</v>
      </c>
      <c r="S5" s="57">
        <f t="shared" si="18"/>
        <v>0</v>
      </c>
      <c r="T5" s="57">
        <f t="shared" si="19"/>
        <v>0</v>
      </c>
      <c r="U5" s="57">
        <f t="shared" si="20"/>
        <v>0.24</v>
      </c>
      <c r="V5" s="57">
        <f t="shared" si="21"/>
        <v>4.832214765100671E-2</v>
      </c>
      <c r="W5" s="57">
        <f t="shared" si="22"/>
        <v>0.24</v>
      </c>
      <c r="X5" s="57">
        <f t="shared" si="23"/>
        <v>4.832214765100671E-2</v>
      </c>
      <c r="Y5" s="57">
        <f t="shared" si="24"/>
        <v>0</v>
      </c>
      <c r="Z5" s="57">
        <f t="shared" si="25"/>
        <v>0</v>
      </c>
      <c r="AA5" s="57">
        <f t="shared" si="26"/>
        <v>0.24</v>
      </c>
      <c r="AB5" s="57">
        <f t="shared" si="27"/>
        <v>4.832214765100671E-2</v>
      </c>
      <c r="AC5" s="56">
        <f t="shared" si="28"/>
        <v>1</v>
      </c>
      <c r="AD5" s="57">
        <f t="shared" si="29"/>
        <v>447</v>
      </c>
      <c r="AE5" s="63">
        <f t="shared" si="30"/>
        <v>0.20134228187919462</v>
      </c>
      <c r="AF5" s="306">
        <f t="shared" si="31"/>
        <v>0</v>
      </c>
      <c r="AG5" s="306">
        <f t="shared" si="32"/>
        <v>0</v>
      </c>
      <c r="AH5" s="56">
        <f t="shared" si="33"/>
        <v>0</v>
      </c>
      <c r="AI5" s="60">
        <f t="shared" si="34"/>
        <v>9.9999999999999995E-8</v>
      </c>
      <c r="AJ5" s="302">
        <f t="shared" si="35"/>
        <v>0</v>
      </c>
      <c r="AK5" s="303">
        <f t="shared" si="36"/>
        <v>0</v>
      </c>
      <c r="AL5" s="56">
        <f t="shared" si="37"/>
        <v>37</v>
      </c>
      <c r="AM5" s="57">
        <f t="shared" si="38"/>
        <v>7.449664429530201</v>
      </c>
      <c r="AN5" s="56">
        <f t="shared" si="39"/>
        <v>34</v>
      </c>
      <c r="AO5" s="57">
        <f t="shared" si="40"/>
        <v>6.8456375838926169</v>
      </c>
      <c r="AP5" s="60">
        <f t="shared" si="41"/>
        <v>0.91891891891891897</v>
      </c>
      <c r="AQ5" s="56">
        <f t="shared" si="42"/>
        <v>3</v>
      </c>
      <c r="AR5" s="57">
        <f t="shared" si="43"/>
        <v>0.60402684563758391</v>
      </c>
      <c r="AS5" s="60">
        <f t="shared" si="44"/>
        <v>8.1081081081081086E-2</v>
      </c>
      <c r="AT5" s="210">
        <f t="shared" si="45"/>
        <v>2.98</v>
      </c>
      <c r="AU5" s="209">
        <f t="shared" si="46"/>
        <v>0.6</v>
      </c>
      <c r="AV5" s="63">
        <f t="shared" si="47"/>
        <v>0.13513513513513514</v>
      </c>
      <c r="AW5" s="210">
        <f t="shared" si="48"/>
        <v>5</v>
      </c>
      <c r="AX5" s="209">
        <f t="shared" si="49"/>
        <v>1.006711409395973</v>
      </c>
      <c r="AY5" s="210">
        <f t="shared" si="50"/>
        <v>1</v>
      </c>
      <c r="AZ5" s="209">
        <f t="shared" si="51"/>
        <v>0.20134228187919462</v>
      </c>
      <c r="BA5" s="63">
        <f t="shared" si="52"/>
        <v>0.2</v>
      </c>
      <c r="BB5" s="358">
        <f t="shared" si="53"/>
        <v>4.8000000000000001E-2</v>
      </c>
      <c r="BC5" s="357">
        <f t="shared" si="54"/>
        <v>0.24</v>
      </c>
      <c r="BD5" s="357">
        <f t="shared" si="55"/>
        <v>-0.24</v>
      </c>
      <c r="BE5" s="357">
        <f t="shared" si="56"/>
        <v>-0.24</v>
      </c>
      <c r="BF5" s="56">
        <f t="shared" si="57"/>
        <v>27</v>
      </c>
      <c r="BG5" s="57">
        <f t="shared" si="58"/>
        <v>5.4362416107382545</v>
      </c>
      <c r="BH5" s="56">
        <f t="shared" si="59"/>
        <v>6</v>
      </c>
      <c r="BI5" s="57">
        <f t="shared" si="60"/>
        <v>1.2080536912751678</v>
      </c>
      <c r="BJ5" s="57">
        <f t="shared" si="61"/>
        <v>5.8389261744966445</v>
      </c>
      <c r="BK5" s="222">
        <f t="shared" si="62"/>
        <v>6</v>
      </c>
      <c r="BL5" s="220">
        <f t="shared" si="63"/>
        <v>1.2080536912751678</v>
      </c>
      <c r="BM5" s="56">
        <f t="shared" si="64"/>
        <v>8</v>
      </c>
      <c r="BN5" s="57">
        <f t="shared" si="65"/>
        <v>1.6107382550335569</v>
      </c>
      <c r="BO5" s="58">
        <f t="shared" si="66"/>
        <v>5</v>
      </c>
      <c r="BP5" s="57">
        <f t="shared" si="67"/>
        <v>1.006711409395973</v>
      </c>
      <c r="BQ5" s="75">
        <f t="shared" si="68"/>
        <v>0</v>
      </c>
      <c r="BR5" s="57">
        <f t="shared" si="69"/>
        <v>0</v>
      </c>
      <c r="BS5" s="114">
        <f t="shared" si="70"/>
        <v>0.625</v>
      </c>
      <c r="BT5" s="56">
        <f t="shared" si="71"/>
        <v>2</v>
      </c>
      <c r="BU5" s="57">
        <f t="shared" si="72"/>
        <v>0.40268456375838924</v>
      </c>
      <c r="BV5" s="61">
        <f t="shared" si="73"/>
        <v>16</v>
      </c>
      <c r="BW5" s="62">
        <f t="shared" si="74"/>
        <v>3.2214765100671139</v>
      </c>
      <c r="BX5" s="61">
        <f t="shared" si="75"/>
        <v>6</v>
      </c>
      <c r="BY5" s="62">
        <f t="shared" si="76"/>
        <v>1.2080536912751678</v>
      </c>
      <c r="BZ5" s="63">
        <f t="shared" si="77"/>
        <v>0.37500000000000006</v>
      </c>
      <c r="CA5" s="61">
        <f t="shared" si="78"/>
        <v>212</v>
      </c>
      <c r="CB5" s="62">
        <f t="shared" si="79"/>
        <v>42.68456375838926</v>
      </c>
      <c r="CC5" s="61">
        <f t="shared" si="80"/>
        <v>187</v>
      </c>
      <c r="CD5" s="62">
        <f t="shared" si="81"/>
        <v>37.651006711409394</v>
      </c>
      <c r="CE5" s="63">
        <f t="shared" si="82"/>
        <v>0.88207547169811318</v>
      </c>
      <c r="CF5" s="56">
        <f t="shared" si="83"/>
        <v>193</v>
      </c>
      <c r="CG5" s="62">
        <f t="shared" si="84"/>
        <v>37.651006711409394</v>
      </c>
      <c r="CH5" s="61">
        <f t="shared" si="85"/>
        <v>19</v>
      </c>
      <c r="CI5" s="62">
        <f t="shared" si="86"/>
        <v>3.825503355704698</v>
      </c>
      <c r="CJ5" s="305">
        <f t="shared" si="87"/>
        <v>9.8445595854922283E-2</v>
      </c>
      <c r="CK5" s="360">
        <f t="shared" si="88"/>
        <v>25</v>
      </c>
      <c r="CL5" s="361">
        <f t="shared" si="89"/>
        <v>5.0335570469798654</v>
      </c>
      <c r="CM5" s="305">
        <f t="shared" si="90"/>
        <v>0.11792452830188679</v>
      </c>
      <c r="CN5" s="210">
        <f t="shared" si="91"/>
        <v>2</v>
      </c>
      <c r="CO5" s="209">
        <f t="shared" si="92"/>
        <v>0.40268456375838924</v>
      </c>
      <c r="CP5" s="209">
        <f t="shared" si="93"/>
        <v>0</v>
      </c>
      <c r="CQ5" s="210">
        <f t="shared" si="94"/>
        <v>2</v>
      </c>
      <c r="CR5" s="62">
        <f t="shared" si="95"/>
        <v>0.40268456375838924</v>
      </c>
      <c r="CS5" s="61">
        <f t="shared" si="96"/>
        <v>58</v>
      </c>
      <c r="CT5" s="62">
        <f t="shared" si="97"/>
        <v>11.677852348993289</v>
      </c>
      <c r="CU5" s="61">
        <f t="shared" si="98"/>
        <v>45</v>
      </c>
      <c r="CV5" s="62">
        <f t="shared" si="99"/>
        <v>9.0604026845637584</v>
      </c>
      <c r="CW5" s="372">
        <f t="shared" si="100"/>
        <v>13</v>
      </c>
      <c r="CX5" s="373">
        <f t="shared" si="101"/>
        <v>2.6174496644295302</v>
      </c>
      <c r="CY5" s="63">
        <f t="shared" si="102"/>
        <v>0.77586206896551724</v>
      </c>
      <c r="CZ5" s="61">
        <f t="shared" si="103"/>
        <v>34</v>
      </c>
      <c r="DA5" s="62">
        <f t="shared" si="104"/>
        <v>6.8456375838926169</v>
      </c>
      <c r="DB5" s="61">
        <f t="shared" si="105"/>
        <v>12</v>
      </c>
      <c r="DC5" s="62">
        <f t="shared" si="106"/>
        <v>2.4161073825503356</v>
      </c>
      <c r="DD5" s="320">
        <f t="shared" si="107"/>
        <v>52</v>
      </c>
      <c r="DE5" s="321">
        <f t="shared" si="108"/>
        <v>10.469798657718121</v>
      </c>
      <c r="DF5" s="320">
        <f t="shared" si="109"/>
        <v>48</v>
      </c>
      <c r="DG5" s="321">
        <f t="shared" si="110"/>
        <v>9.6644295302013425</v>
      </c>
      <c r="DH5" s="63">
        <f t="shared" si="111"/>
        <v>0.92307692307692313</v>
      </c>
      <c r="DI5" s="372">
        <f t="shared" si="112"/>
        <v>10</v>
      </c>
      <c r="DJ5" s="373">
        <f t="shared" si="113"/>
        <v>2.0134228187919461</v>
      </c>
      <c r="DK5" s="320">
        <f t="shared" si="114"/>
        <v>3</v>
      </c>
      <c r="DL5" s="62">
        <f t="shared" si="115"/>
        <v>0.60402684563758391</v>
      </c>
      <c r="DM5" s="63">
        <f t="shared" si="116"/>
        <v>0.19230769230769232</v>
      </c>
      <c r="DN5" s="61">
        <f t="shared" si="117"/>
        <v>2</v>
      </c>
      <c r="DO5" s="61">
        <f t="shared" si="118"/>
        <v>0</v>
      </c>
      <c r="DP5" s="61">
        <f t="shared" si="119"/>
        <v>2</v>
      </c>
      <c r="DQ5" s="62">
        <f t="shared" si="120"/>
        <v>0.40268456375838924</v>
      </c>
      <c r="DR5" s="63">
        <f t="shared" si="121"/>
        <v>0.66666666666666663</v>
      </c>
      <c r="DS5" s="61">
        <f t="shared" si="122"/>
        <v>83.64</v>
      </c>
      <c r="DT5" s="62">
        <f t="shared" si="123"/>
        <v>16.840268456375838</v>
      </c>
      <c r="DU5" s="61">
        <f t="shared" si="124"/>
        <v>77.98</v>
      </c>
      <c r="DV5" s="62">
        <f t="shared" si="125"/>
        <v>15.700671140939598</v>
      </c>
      <c r="DW5" s="61">
        <f t="shared" si="138"/>
        <v>30.5</v>
      </c>
      <c r="DX5" s="62">
        <f t="shared" si="126"/>
        <v>6.1409395973154357</v>
      </c>
      <c r="DY5" s="63">
        <f t="shared" si="127"/>
        <v>0.93232902917264471</v>
      </c>
      <c r="DZ5" s="62">
        <f t="shared" si="128"/>
        <v>49.7</v>
      </c>
      <c r="EA5" s="62">
        <f t="shared" si="129"/>
        <v>10.006711409395974</v>
      </c>
      <c r="EB5" s="62">
        <f t="shared" si="130"/>
        <v>2</v>
      </c>
      <c r="EC5" s="61">
        <f t="shared" si="131"/>
        <v>0</v>
      </c>
      <c r="ED5" s="62">
        <f t="shared" si="132"/>
        <v>0</v>
      </c>
      <c r="EE5" s="61">
        <f t="shared" si="133"/>
        <v>31</v>
      </c>
      <c r="EF5" s="62">
        <f t="shared" si="134"/>
        <v>6.2416107382550337</v>
      </c>
      <c r="EG5" s="61">
        <f t="shared" si="135"/>
        <v>68.043333333333337</v>
      </c>
      <c r="EH5" s="62">
        <f t="shared" si="136"/>
        <v>13.7</v>
      </c>
      <c r="EI5" s="62">
        <f t="shared" si="137"/>
        <v>7.14</v>
      </c>
      <c r="EJ5" s="296" t="s">
        <v>19</v>
      </c>
      <c r="EK5" s="292" t="s">
        <v>940</v>
      </c>
      <c r="EL5" s="292" t="s">
        <v>639</v>
      </c>
      <c r="EM5" s="292">
        <v>31</v>
      </c>
      <c r="EN5" s="393">
        <v>0</v>
      </c>
      <c r="EO5" s="292" t="s">
        <v>855</v>
      </c>
      <c r="EP5" s="292" t="s">
        <v>13</v>
      </c>
      <c r="EQ5" s="292" t="s">
        <v>602</v>
      </c>
      <c r="ER5" s="293">
        <v>46173</v>
      </c>
      <c r="ES5" s="292" t="s">
        <v>941</v>
      </c>
      <c r="ET5" s="292">
        <v>447</v>
      </c>
      <c r="EU5" s="292">
        <v>5</v>
      </c>
      <c r="EV5" s="292">
        <v>1</v>
      </c>
      <c r="EW5" s="292">
        <v>0</v>
      </c>
      <c r="EX5" s="292">
        <v>0</v>
      </c>
      <c r="EY5" s="292">
        <v>0</v>
      </c>
      <c r="EZ5" s="292">
        <v>2</v>
      </c>
      <c r="FA5" s="292">
        <v>0</v>
      </c>
      <c r="FB5" s="292">
        <v>16</v>
      </c>
      <c r="FC5" s="292">
        <v>6</v>
      </c>
      <c r="FD5" s="292">
        <v>34</v>
      </c>
      <c r="FE5" s="292">
        <v>37</v>
      </c>
      <c r="FF5" s="292">
        <v>0.6</v>
      </c>
      <c r="FG5" s="292">
        <v>5</v>
      </c>
      <c r="FH5" s="292">
        <v>5</v>
      </c>
      <c r="FI5" s="292">
        <v>7</v>
      </c>
      <c r="FJ5" s="292">
        <v>6</v>
      </c>
      <c r="FK5" s="292">
        <v>13.7</v>
      </c>
      <c r="FL5" s="292">
        <v>2</v>
      </c>
      <c r="FM5" s="292">
        <v>14</v>
      </c>
      <c r="FN5" s="292">
        <v>3</v>
      </c>
      <c r="FO5" s="292">
        <v>6</v>
      </c>
      <c r="FP5" s="292" t="s">
        <v>942</v>
      </c>
      <c r="FQ5" s="292">
        <v>2</v>
      </c>
      <c r="FR5" s="292">
        <v>0</v>
      </c>
      <c r="FS5" s="292">
        <v>19</v>
      </c>
      <c r="FT5" s="292">
        <v>212</v>
      </c>
      <c r="FU5" s="292">
        <v>187</v>
      </c>
      <c r="FV5" s="292">
        <v>0</v>
      </c>
      <c r="FW5" s="292">
        <v>5</v>
      </c>
      <c r="FX5" s="292">
        <v>1</v>
      </c>
      <c r="FY5" s="292">
        <v>0</v>
      </c>
      <c r="FZ5" s="292">
        <v>0</v>
      </c>
      <c r="GA5" s="292" t="s">
        <v>912</v>
      </c>
      <c r="GB5" s="292">
        <v>0</v>
      </c>
      <c r="GC5" s="292">
        <v>2</v>
      </c>
      <c r="GD5" s="292">
        <v>0</v>
      </c>
      <c r="GE5" s="297">
        <v>7.14</v>
      </c>
    </row>
    <row r="6" spans="1:194" ht="24.95" customHeight="1" thickBot="1" x14ac:dyDescent="0.3">
      <c r="A6" s="29" t="str">
        <f t="shared" si="0"/>
        <v>5º</v>
      </c>
      <c r="B6" s="101" t="str">
        <f t="shared" si="1"/>
        <v>Cristopher</v>
      </c>
      <c r="C6" s="86" t="str">
        <f t="shared" si="2"/>
        <v>BRA</v>
      </c>
      <c r="D6" s="99" t="str">
        <f t="shared" si="3"/>
        <v>Pé Esquerdo</v>
      </c>
      <c r="E6" s="67" t="str">
        <f t="shared" si="4"/>
        <v>Comercial (SP)</v>
      </c>
      <c r="F6" s="166">
        <f t="shared" si="5"/>
        <v>1.88</v>
      </c>
      <c r="G6" s="169">
        <f t="shared" si="6"/>
        <v>25</v>
      </c>
      <c r="H6" s="68">
        <f t="shared" si="7"/>
        <v>0</v>
      </c>
      <c r="I6" s="198">
        <f t="shared" si="8"/>
        <v>46325</v>
      </c>
      <c r="J6" s="301" t="str">
        <f t="shared" si="9"/>
        <v>€1,2m p/m</v>
      </c>
      <c r="K6" s="96">
        <f t="shared" si="10"/>
        <v>4.5855555555555556</v>
      </c>
      <c r="L6" s="145">
        <f t="shared" si="11"/>
        <v>4</v>
      </c>
      <c r="M6" s="145">
        <f t="shared" si="12"/>
        <v>4</v>
      </c>
      <c r="N6" s="145">
        <f t="shared" si="13"/>
        <v>90</v>
      </c>
      <c r="O6" s="190">
        <f t="shared" si="14"/>
        <v>1</v>
      </c>
      <c r="P6" s="55">
        <f t="shared" si="15"/>
        <v>0</v>
      </c>
      <c r="Q6" s="55">
        <f t="shared" si="16"/>
        <v>0</v>
      </c>
      <c r="R6" s="55">
        <f t="shared" si="17"/>
        <v>0</v>
      </c>
      <c r="S6" s="57">
        <f t="shared" si="18"/>
        <v>0</v>
      </c>
      <c r="T6" s="57">
        <f t="shared" si="19"/>
        <v>0</v>
      </c>
      <c r="U6" s="57">
        <f t="shared" si="20"/>
        <v>0.03</v>
      </c>
      <c r="V6" s="57">
        <f t="shared" si="21"/>
        <v>7.4999999999999997E-3</v>
      </c>
      <c r="W6" s="57">
        <f t="shared" si="22"/>
        <v>0.03</v>
      </c>
      <c r="X6" s="57">
        <f t="shared" si="23"/>
        <v>7.4999999999999997E-3</v>
      </c>
      <c r="Y6" s="57">
        <f t="shared" si="24"/>
        <v>0</v>
      </c>
      <c r="Z6" s="57">
        <f t="shared" si="25"/>
        <v>0</v>
      </c>
      <c r="AA6" s="57">
        <f t="shared" si="26"/>
        <v>0.03</v>
      </c>
      <c r="AB6" s="57">
        <f t="shared" si="27"/>
        <v>7.4999999999999997E-3</v>
      </c>
      <c r="AC6" s="56">
        <f t="shared" si="28"/>
        <v>0</v>
      </c>
      <c r="AD6" s="57">
        <f t="shared" si="29"/>
        <v>5400</v>
      </c>
      <c r="AE6" s="63">
        <f t="shared" si="30"/>
        <v>0</v>
      </c>
      <c r="AF6" s="306">
        <f t="shared" si="31"/>
        <v>0</v>
      </c>
      <c r="AG6" s="306">
        <f t="shared" si="32"/>
        <v>0</v>
      </c>
      <c r="AH6" s="56">
        <f t="shared" si="33"/>
        <v>0</v>
      </c>
      <c r="AI6" s="60">
        <f t="shared" si="34"/>
        <v>9.9999999999999995E-8</v>
      </c>
      <c r="AJ6" s="302">
        <f t="shared" si="35"/>
        <v>0</v>
      </c>
      <c r="AK6" s="303">
        <f t="shared" si="36"/>
        <v>0</v>
      </c>
      <c r="AL6" s="56">
        <f t="shared" si="37"/>
        <v>24</v>
      </c>
      <c r="AM6" s="57">
        <f t="shared" si="38"/>
        <v>6</v>
      </c>
      <c r="AN6" s="56">
        <f t="shared" si="39"/>
        <v>21</v>
      </c>
      <c r="AO6" s="57">
        <f t="shared" si="40"/>
        <v>5.25</v>
      </c>
      <c r="AP6" s="60">
        <f t="shared" si="41"/>
        <v>0.875</v>
      </c>
      <c r="AQ6" s="56">
        <f t="shared" si="42"/>
        <v>3</v>
      </c>
      <c r="AR6" s="57">
        <f t="shared" si="43"/>
        <v>0.75</v>
      </c>
      <c r="AS6" s="60">
        <f t="shared" si="44"/>
        <v>0.125</v>
      </c>
      <c r="AT6" s="210">
        <f t="shared" si="45"/>
        <v>3.2</v>
      </c>
      <c r="AU6" s="209">
        <f t="shared" si="46"/>
        <v>0.8</v>
      </c>
      <c r="AV6" s="63">
        <f t="shared" si="47"/>
        <v>4.1666666666666664E-2</v>
      </c>
      <c r="AW6" s="210">
        <f t="shared" si="48"/>
        <v>1</v>
      </c>
      <c r="AX6" s="209">
        <f t="shared" si="49"/>
        <v>0.25</v>
      </c>
      <c r="AY6" s="210">
        <f t="shared" si="50"/>
        <v>0</v>
      </c>
      <c r="AZ6" s="209">
        <f t="shared" si="51"/>
        <v>0</v>
      </c>
      <c r="BA6" s="63">
        <f t="shared" si="52"/>
        <v>0</v>
      </c>
      <c r="BB6" s="358">
        <f t="shared" si="53"/>
        <v>0.03</v>
      </c>
      <c r="BC6" s="357">
        <f t="shared" si="54"/>
        <v>0.03</v>
      </c>
      <c r="BD6" s="357">
        <f t="shared" si="55"/>
        <v>-0.03</v>
      </c>
      <c r="BE6" s="357">
        <f t="shared" si="56"/>
        <v>-0.03</v>
      </c>
      <c r="BF6" s="56">
        <f t="shared" si="57"/>
        <v>15</v>
      </c>
      <c r="BG6" s="57">
        <f t="shared" si="58"/>
        <v>3.75</v>
      </c>
      <c r="BH6" s="56">
        <f t="shared" si="59"/>
        <v>1</v>
      </c>
      <c r="BI6" s="57">
        <f t="shared" si="60"/>
        <v>0.25</v>
      </c>
      <c r="BJ6" s="57">
        <f t="shared" si="61"/>
        <v>3.75</v>
      </c>
      <c r="BK6" s="222">
        <f t="shared" si="62"/>
        <v>1</v>
      </c>
      <c r="BL6" s="220">
        <f t="shared" si="63"/>
        <v>0.25</v>
      </c>
      <c r="BM6" s="56">
        <f t="shared" si="64"/>
        <v>1</v>
      </c>
      <c r="BN6" s="57">
        <f t="shared" si="65"/>
        <v>0.25</v>
      </c>
      <c r="BO6" s="58">
        <f t="shared" si="66"/>
        <v>0</v>
      </c>
      <c r="BP6" s="57">
        <f t="shared" si="67"/>
        <v>0</v>
      </c>
      <c r="BQ6" s="75">
        <f t="shared" si="68"/>
        <v>0</v>
      </c>
      <c r="BR6" s="57">
        <f t="shared" si="69"/>
        <v>0</v>
      </c>
      <c r="BS6" s="114">
        <f t="shared" si="70"/>
        <v>0</v>
      </c>
      <c r="BT6" s="56">
        <f t="shared" si="71"/>
        <v>0</v>
      </c>
      <c r="BU6" s="57">
        <f t="shared" si="72"/>
        <v>0</v>
      </c>
      <c r="BV6" s="61">
        <f t="shared" si="73"/>
        <v>8</v>
      </c>
      <c r="BW6" s="62">
        <f t="shared" si="74"/>
        <v>2</v>
      </c>
      <c r="BX6" s="61">
        <f t="shared" si="75"/>
        <v>1</v>
      </c>
      <c r="BY6" s="62">
        <f t="shared" si="76"/>
        <v>0.25</v>
      </c>
      <c r="BZ6" s="63">
        <f t="shared" si="77"/>
        <v>0.125</v>
      </c>
      <c r="CA6" s="61">
        <f t="shared" si="78"/>
        <v>200</v>
      </c>
      <c r="CB6" s="62">
        <f t="shared" si="79"/>
        <v>50</v>
      </c>
      <c r="CC6" s="61">
        <f t="shared" si="80"/>
        <v>172</v>
      </c>
      <c r="CD6" s="62">
        <f t="shared" si="81"/>
        <v>43</v>
      </c>
      <c r="CE6" s="63">
        <f t="shared" si="82"/>
        <v>0.86</v>
      </c>
      <c r="CF6" s="56">
        <f t="shared" si="83"/>
        <v>190</v>
      </c>
      <c r="CG6" s="62">
        <f t="shared" si="84"/>
        <v>43</v>
      </c>
      <c r="CH6" s="61">
        <f t="shared" si="85"/>
        <v>10</v>
      </c>
      <c r="CI6" s="62">
        <f t="shared" si="86"/>
        <v>2.5</v>
      </c>
      <c r="CJ6" s="305">
        <f t="shared" si="87"/>
        <v>5.2631578947368418E-2</v>
      </c>
      <c r="CK6" s="360">
        <f t="shared" si="88"/>
        <v>28</v>
      </c>
      <c r="CL6" s="361">
        <f t="shared" si="89"/>
        <v>7</v>
      </c>
      <c r="CM6" s="305">
        <f t="shared" si="90"/>
        <v>0.14000000000000001</v>
      </c>
      <c r="CN6" s="210">
        <f t="shared" si="91"/>
        <v>0</v>
      </c>
      <c r="CO6" s="209">
        <f t="shared" si="92"/>
        <v>0</v>
      </c>
      <c r="CP6" s="209">
        <f t="shared" si="93"/>
        <v>0</v>
      </c>
      <c r="CQ6" s="210">
        <f t="shared" si="94"/>
        <v>0</v>
      </c>
      <c r="CR6" s="62">
        <f t="shared" si="95"/>
        <v>0</v>
      </c>
      <c r="CS6" s="61">
        <f t="shared" si="96"/>
        <v>32</v>
      </c>
      <c r="CT6" s="62">
        <f t="shared" si="97"/>
        <v>8</v>
      </c>
      <c r="CU6" s="61">
        <f t="shared" si="98"/>
        <v>22</v>
      </c>
      <c r="CV6" s="62">
        <f t="shared" si="99"/>
        <v>5.5</v>
      </c>
      <c r="CW6" s="372">
        <f t="shared" si="100"/>
        <v>10</v>
      </c>
      <c r="CX6" s="373">
        <f t="shared" si="101"/>
        <v>2.5</v>
      </c>
      <c r="CY6" s="63">
        <f t="shared" si="102"/>
        <v>0.6875</v>
      </c>
      <c r="CZ6" s="61">
        <f t="shared" si="103"/>
        <v>16</v>
      </c>
      <c r="DA6" s="62">
        <f t="shared" si="104"/>
        <v>4</v>
      </c>
      <c r="DB6" s="61">
        <f t="shared" si="105"/>
        <v>1</v>
      </c>
      <c r="DC6" s="62">
        <f t="shared" si="106"/>
        <v>0.25</v>
      </c>
      <c r="DD6" s="320">
        <f t="shared" si="107"/>
        <v>27</v>
      </c>
      <c r="DE6" s="321">
        <f t="shared" si="108"/>
        <v>6.75</v>
      </c>
      <c r="DF6" s="320">
        <f t="shared" si="109"/>
        <v>23</v>
      </c>
      <c r="DG6" s="321">
        <f t="shared" si="110"/>
        <v>5.75</v>
      </c>
      <c r="DH6" s="63">
        <f t="shared" si="111"/>
        <v>0.85185185185185186</v>
      </c>
      <c r="DI6" s="372">
        <f t="shared" si="112"/>
        <v>5</v>
      </c>
      <c r="DJ6" s="373">
        <f t="shared" si="113"/>
        <v>1.25</v>
      </c>
      <c r="DK6" s="320">
        <f t="shared" si="114"/>
        <v>1</v>
      </c>
      <c r="DL6" s="62">
        <f t="shared" si="115"/>
        <v>0.25</v>
      </c>
      <c r="DM6" s="63">
        <f t="shared" si="116"/>
        <v>0.18518518518518517</v>
      </c>
      <c r="DN6" s="61">
        <f t="shared" si="117"/>
        <v>0</v>
      </c>
      <c r="DO6" s="61">
        <f t="shared" si="118"/>
        <v>0</v>
      </c>
      <c r="DP6" s="61">
        <f t="shared" si="119"/>
        <v>0</v>
      </c>
      <c r="DQ6" s="62">
        <f t="shared" si="120"/>
        <v>0</v>
      </c>
      <c r="DR6" s="63">
        <f t="shared" si="121"/>
        <v>0</v>
      </c>
      <c r="DS6" s="61">
        <f t="shared" si="122"/>
        <v>44.2</v>
      </c>
      <c r="DT6" s="62">
        <f t="shared" si="123"/>
        <v>11.05</v>
      </c>
      <c r="DU6" s="61">
        <f t="shared" si="124"/>
        <v>40.200000000000003</v>
      </c>
      <c r="DV6" s="62">
        <f t="shared" si="125"/>
        <v>10.050000000000001</v>
      </c>
      <c r="DW6" s="61">
        <f t="shared" si="138"/>
        <v>29</v>
      </c>
      <c r="DX6" s="62">
        <f t="shared" si="126"/>
        <v>7.25</v>
      </c>
      <c r="DY6" s="63">
        <f t="shared" si="127"/>
        <v>0.9095022624434389</v>
      </c>
      <c r="DZ6" s="62">
        <f t="shared" si="128"/>
        <v>34.700000000000003</v>
      </c>
      <c r="EA6" s="62">
        <f t="shared" si="129"/>
        <v>8.6750000000000007</v>
      </c>
      <c r="EB6" s="62">
        <f t="shared" si="130"/>
        <v>2.2000000000000002</v>
      </c>
      <c r="EC6" s="61">
        <f t="shared" si="131"/>
        <v>0</v>
      </c>
      <c r="ED6" s="62">
        <f t="shared" si="132"/>
        <v>0</v>
      </c>
      <c r="EE6" s="61">
        <f t="shared" si="133"/>
        <v>32</v>
      </c>
      <c r="EF6" s="62">
        <f t="shared" si="134"/>
        <v>8</v>
      </c>
      <c r="EG6" s="61">
        <f t="shared" si="135"/>
        <v>56</v>
      </c>
      <c r="EH6" s="62">
        <f t="shared" si="136"/>
        <v>14</v>
      </c>
      <c r="EI6" s="62">
        <f t="shared" si="137"/>
        <v>6.88</v>
      </c>
      <c r="EJ6" s="296"/>
      <c r="EK6" s="292" t="s">
        <v>951</v>
      </c>
      <c r="EL6" s="292" t="s">
        <v>657</v>
      </c>
      <c r="EM6" s="292">
        <v>25</v>
      </c>
      <c r="EN6" s="393">
        <v>0</v>
      </c>
      <c r="EO6" s="292" t="s">
        <v>855</v>
      </c>
      <c r="EP6" s="292" t="s">
        <v>13</v>
      </c>
      <c r="EQ6" s="292" t="s">
        <v>607</v>
      </c>
      <c r="ER6" s="293">
        <v>46325</v>
      </c>
      <c r="ES6" s="292" t="s">
        <v>896</v>
      </c>
      <c r="ET6" s="292">
        <v>360</v>
      </c>
      <c r="EU6" s="292">
        <v>4</v>
      </c>
      <c r="EV6" s="292">
        <v>0</v>
      </c>
      <c r="EW6" s="292">
        <v>0</v>
      </c>
      <c r="EX6" s="292">
        <v>0</v>
      </c>
      <c r="EY6" s="292">
        <v>0</v>
      </c>
      <c r="EZ6" s="292">
        <v>0</v>
      </c>
      <c r="FA6" s="292">
        <v>0</v>
      </c>
      <c r="FB6" s="292">
        <v>8</v>
      </c>
      <c r="FC6" s="292">
        <v>1</v>
      </c>
      <c r="FD6" s="292">
        <v>21</v>
      </c>
      <c r="FE6" s="292">
        <v>24</v>
      </c>
      <c r="FF6" s="292">
        <v>0.8</v>
      </c>
      <c r="FG6" s="292">
        <v>0</v>
      </c>
      <c r="FH6" s="292">
        <v>0</v>
      </c>
      <c r="FI6" s="292">
        <v>2</v>
      </c>
      <c r="FJ6" s="292">
        <v>1</v>
      </c>
      <c r="FK6" s="292">
        <v>14</v>
      </c>
      <c r="FL6" s="292">
        <v>0</v>
      </c>
      <c r="FM6" s="292">
        <v>12</v>
      </c>
      <c r="FN6" s="292">
        <v>1</v>
      </c>
      <c r="FO6" s="292">
        <v>1</v>
      </c>
      <c r="FP6" s="292" t="s">
        <v>918</v>
      </c>
      <c r="FQ6" s="292">
        <v>2.2000000000000002</v>
      </c>
      <c r="FR6" s="292">
        <v>0</v>
      </c>
      <c r="FS6" s="292">
        <v>10</v>
      </c>
      <c r="FT6" s="292">
        <v>200</v>
      </c>
      <c r="FU6" s="292">
        <v>172</v>
      </c>
      <c r="FV6" s="292">
        <v>0</v>
      </c>
      <c r="FW6" s="292">
        <v>1</v>
      </c>
      <c r="FX6" s="292">
        <v>0</v>
      </c>
      <c r="FY6" s="292">
        <v>0</v>
      </c>
      <c r="FZ6" s="292">
        <v>0</v>
      </c>
      <c r="GA6" s="292" t="s">
        <v>806</v>
      </c>
      <c r="GB6" s="292">
        <v>0</v>
      </c>
      <c r="GC6" s="292">
        <v>0</v>
      </c>
      <c r="GD6" s="292">
        <v>0</v>
      </c>
      <c r="GE6" s="297">
        <v>6.88</v>
      </c>
    </row>
    <row r="7" spans="1:194" ht="24.95" customHeight="1" thickBot="1" x14ac:dyDescent="0.3">
      <c r="A7" s="29" t="str">
        <f t="shared" si="0"/>
        <v>6º</v>
      </c>
      <c r="B7" s="101" t="str">
        <f t="shared" si="1"/>
        <v>Anderson</v>
      </c>
      <c r="C7" s="86" t="str">
        <f t="shared" si="2"/>
        <v>BRA</v>
      </c>
      <c r="D7" s="99" t="str">
        <f t="shared" si="3"/>
        <v>Pé Esquerdo</v>
      </c>
      <c r="E7" s="67" t="str">
        <f t="shared" si="4"/>
        <v>Falcon (SE)</v>
      </c>
      <c r="F7" s="166">
        <f t="shared" si="5"/>
        <v>1.88</v>
      </c>
      <c r="G7" s="169">
        <f t="shared" si="6"/>
        <v>43</v>
      </c>
      <c r="H7" s="68">
        <f t="shared" si="7"/>
        <v>0</v>
      </c>
      <c r="I7" s="198">
        <f t="shared" si="8"/>
        <v>46173</v>
      </c>
      <c r="J7" s="301" t="str">
        <f t="shared" si="9"/>
        <v>€1,2m p/m</v>
      </c>
      <c r="K7" s="96">
        <f t="shared" si="10"/>
        <v>4.5855555555555556</v>
      </c>
      <c r="L7" s="145">
        <f t="shared" si="11"/>
        <v>4</v>
      </c>
      <c r="M7" s="145">
        <f t="shared" si="12"/>
        <v>4</v>
      </c>
      <c r="N7" s="145">
        <f t="shared" si="13"/>
        <v>90</v>
      </c>
      <c r="O7" s="190">
        <f t="shared" si="14"/>
        <v>1</v>
      </c>
      <c r="P7" s="55">
        <f t="shared" si="15"/>
        <v>0</v>
      </c>
      <c r="Q7" s="55">
        <f t="shared" si="16"/>
        <v>1</v>
      </c>
      <c r="R7" s="55">
        <f t="shared" si="17"/>
        <v>1</v>
      </c>
      <c r="S7" s="57">
        <f t="shared" si="18"/>
        <v>0</v>
      </c>
      <c r="T7" s="57">
        <f t="shared" si="19"/>
        <v>0.25</v>
      </c>
      <c r="U7" s="57">
        <f t="shared" si="20"/>
        <v>0.09</v>
      </c>
      <c r="V7" s="57">
        <f t="shared" si="21"/>
        <v>2.2499999999999999E-2</v>
      </c>
      <c r="W7" s="57">
        <f t="shared" si="22"/>
        <v>0.09</v>
      </c>
      <c r="X7" s="57">
        <f t="shared" si="23"/>
        <v>2.2499999999999999E-2</v>
      </c>
      <c r="Y7" s="57">
        <f t="shared" si="24"/>
        <v>0.01</v>
      </c>
      <c r="Z7" s="57">
        <f t="shared" si="25"/>
        <v>2.5000000000000001E-3</v>
      </c>
      <c r="AA7" s="57">
        <f t="shared" si="26"/>
        <v>9.9999999999999992E-2</v>
      </c>
      <c r="AB7" s="57">
        <f t="shared" si="27"/>
        <v>2.4999999999999998E-2</v>
      </c>
      <c r="AC7" s="56">
        <f t="shared" si="28"/>
        <v>0</v>
      </c>
      <c r="AD7" s="57">
        <f t="shared" si="29"/>
        <v>5400</v>
      </c>
      <c r="AE7" s="63">
        <f t="shared" si="30"/>
        <v>0</v>
      </c>
      <c r="AF7" s="306">
        <f t="shared" si="31"/>
        <v>0</v>
      </c>
      <c r="AG7" s="306">
        <f t="shared" si="32"/>
        <v>0</v>
      </c>
      <c r="AH7" s="56">
        <f t="shared" si="33"/>
        <v>0</v>
      </c>
      <c r="AI7" s="60">
        <f t="shared" si="34"/>
        <v>9.9999999999999995E-8</v>
      </c>
      <c r="AJ7" s="302">
        <f t="shared" si="35"/>
        <v>0</v>
      </c>
      <c r="AK7" s="303">
        <f t="shared" si="36"/>
        <v>0</v>
      </c>
      <c r="AL7" s="56">
        <f t="shared" si="37"/>
        <v>24</v>
      </c>
      <c r="AM7" s="57">
        <f t="shared" si="38"/>
        <v>6</v>
      </c>
      <c r="AN7" s="56">
        <f t="shared" si="39"/>
        <v>22</v>
      </c>
      <c r="AO7" s="57">
        <f t="shared" si="40"/>
        <v>5.5</v>
      </c>
      <c r="AP7" s="60">
        <f t="shared" si="41"/>
        <v>0.91666666666666663</v>
      </c>
      <c r="AQ7" s="56">
        <f t="shared" si="42"/>
        <v>2</v>
      </c>
      <c r="AR7" s="57">
        <f t="shared" si="43"/>
        <v>0.5</v>
      </c>
      <c r="AS7" s="60">
        <f t="shared" si="44"/>
        <v>8.3333333333333329E-2</v>
      </c>
      <c r="AT7" s="210">
        <f t="shared" si="45"/>
        <v>0.8</v>
      </c>
      <c r="AU7" s="209">
        <f t="shared" si="46"/>
        <v>0.2</v>
      </c>
      <c r="AV7" s="63">
        <f t="shared" si="47"/>
        <v>8.3333333333333329E-2</v>
      </c>
      <c r="AW7" s="210">
        <f t="shared" si="48"/>
        <v>2</v>
      </c>
      <c r="AX7" s="209">
        <f t="shared" si="49"/>
        <v>0.5</v>
      </c>
      <c r="AY7" s="210">
        <f t="shared" si="50"/>
        <v>0</v>
      </c>
      <c r="AZ7" s="209">
        <f t="shared" si="51"/>
        <v>0</v>
      </c>
      <c r="BA7" s="63">
        <f t="shared" si="52"/>
        <v>0</v>
      </c>
      <c r="BB7" s="358">
        <f t="shared" si="53"/>
        <v>4.4999999999999998E-2</v>
      </c>
      <c r="BC7" s="357">
        <f t="shared" si="54"/>
        <v>0.09</v>
      </c>
      <c r="BD7" s="357">
        <f t="shared" si="55"/>
        <v>-0.09</v>
      </c>
      <c r="BE7" s="357">
        <f t="shared" si="56"/>
        <v>-0.09</v>
      </c>
      <c r="BF7" s="56">
        <f t="shared" si="57"/>
        <v>19</v>
      </c>
      <c r="BG7" s="57">
        <f t="shared" si="58"/>
        <v>4.75</v>
      </c>
      <c r="BH7" s="56">
        <f t="shared" si="59"/>
        <v>2</v>
      </c>
      <c r="BI7" s="57">
        <f t="shared" si="60"/>
        <v>0.5</v>
      </c>
      <c r="BJ7" s="57">
        <f t="shared" si="61"/>
        <v>4.75</v>
      </c>
      <c r="BK7" s="222">
        <f t="shared" si="62"/>
        <v>5</v>
      </c>
      <c r="BL7" s="220">
        <f t="shared" si="63"/>
        <v>1.25</v>
      </c>
      <c r="BM7" s="56">
        <f t="shared" si="64"/>
        <v>4</v>
      </c>
      <c r="BN7" s="57">
        <f t="shared" si="65"/>
        <v>1</v>
      </c>
      <c r="BO7" s="58">
        <f t="shared" si="66"/>
        <v>1</v>
      </c>
      <c r="BP7" s="57">
        <f t="shared" si="67"/>
        <v>0.25</v>
      </c>
      <c r="BQ7" s="75">
        <f t="shared" si="68"/>
        <v>0</v>
      </c>
      <c r="BR7" s="57">
        <f t="shared" si="69"/>
        <v>0</v>
      </c>
      <c r="BS7" s="114">
        <f t="shared" si="70"/>
        <v>0.25</v>
      </c>
      <c r="BT7" s="56">
        <f t="shared" si="71"/>
        <v>0</v>
      </c>
      <c r="BU7" s="57">
        <f t="shared" si="72"/>
        <v>0</v>
      </c>
      <c r="BV7" s="61">
        <f t="shared" si="73"/>
        <v>8</v>
      </c>
      <c r="BW7" s="62">
        <f t="shared" si="74"/>
        <v>2</v>
      </c>
      <c r="BX7" s="61">
        <f t="shared" si="75"/>
        <v>2</v>
      </c>
      <c r="BY7" s="62">
        <f t="shared" si="76"/>
        <v>0.5</v>
      </c>
      <c r="BZ7" s="63">
        <f t="shared" si="77"/>
        <v>0.25</v>
      </c>
      <c r="CA7" s="61">
        <f t="shared" si="78"/>
        <v>197</v>
      </c>
      <c r="CB7" s="62">
        <f t="shared" si="79"/>
        <v>49.25</v>
      </c>
      <c r="CC7" s="61">
        <f t="shared" si="80"/>
        <v>176</v>
      </c>
      <c r="CD7" s="62">
        <f t="shared" si="81"/>
        <v>44</v>
      </c>
      <c r="CE7" s="63">
        <f t="shared" si="82"/>
        <v>0.89340101522842641</v>
      </c>
      <c r="CF7" s="56">
        <f t="shared" si="83"/>
        <v>188</v>
      </c>
      <c r="CG7" s="62">
        <f t="shared" si="84"/>
        <v>44</v>
      </c>
      <c r="CH7" s="61">
        <f t="shared" si="85"/>
        <v>9</v>
      </c>
      <c r="CI7" s="62">
        <f t="shared" si="86"/>
        <v>2.25</v>
      </c>
      <c r="CJ7" s="305">
        <f t="shared" si="87"/>
        <v>4.7872340425531915E-2</v>
      </c>
      <c r="CK7" s="360">
        <f t="shared" si="88"/>
        <v>21</v>
      </c>
      <c r="CL7" s="361">
        <f t="shared" si="89"/>
        <v>5.25</v>
      </c>
      <c r="CM7" s="305">
        <f t="shared" si="90"/>
        <v>0.1065989847715736</v>
      </c>
      <c r="CN7" s="210">
        <f t="shared" si="91"/>
        <v>1</v>
      </c>
      <c r="CO7" s="209">
        <f t="shared" si="92"/>
        <v>0.25</v>
      </c>
      <c r="CP7" s="209">
        <f t="shared" si="93"/>
        <v>0.01</v>
      </c>
      <c r="CQ7" s="210">
        <f t="shared" si="94"/>
        <v>1</v>
      </c>
      <c r="CR7" s="62">
        <f t="shared" si="95"/>
        <v>0.25</v>
      </c>
      <c r="CS7" s="61">
        <f t="shared" si="96"/>
        <v>33</v>
      </c>
      <c r="CT7" s="62">
        <f t="shared" si="97"/>
        <v>8.25</v>
      </c>
      <c r="CU7" s="61">
        <f t="shared" si="98"/>
        <v>25</v>
      </c>
      <c r="CV7" s="62">
        <f t="shared" si="99"/>
        <v>6.25</v>
      </c>
      <c r="CW7" s="372">
        <f t="shared" si="100"/>
        <v>8</v>
      </c>
      <c r="CX7" s="373">
        <f t="shared" si="101"/>
        <v>2</v>
      </c>
      <c r="CY7" s="63">
        <f t="shared" si="102"/>
        <v>0.75757575757575757</v>
      </c>
      <c r="CZ7" s="61">
        <f t="shared" si="103"/>
        <v>24</v>
      </c>
      <c r="DA7" s="62">
        <f t="shared" si="104"/>
        <v>6</v>
      </c>
      <c r="DB7" s="61">
        <f t="shared" si="105"/>
        <v>3</v>
      </c>
      <c r="DC7" s="62">
        <f t="shared" si="106"/>
        <v>0.75</v>
      </c>
      <c r="DD7" s="320">
        <f t="shared" si="107"/>
        <v>32</v>
      </c>
      <c r="DE7" s="321">
        <f t="shared" si="108"/>
        <v>8</v>
      </c>
      <c r="DF7" s="320">
        <f t="shared" si="109"/>
        <v>27</v>
      </c>
      <c r="DG7" s="321">
        <f t="shared" si="110"/>
        <v>6.75</v>
      </c>
      <c r="DH7" s="63">
        <f t="shared" si="111"/>
        <v>0.84375</v>
      </c>
      <c r="DI7" s="372">
        <f t="shared" si="112"/>
        <v>6</v>
      </c>
      <c r="DJ7" s="373">
        <f t="shared" si="113"/>
        <v>1.5</v>
      </c>
      <c r="DK7" s="320">
        <f t="shared" si="114"/>
        <v>3</v>
      </c>
      <c r="DL7" s="62">
        <f t="shared" si="115"/>
        <v>0.75</v>
      </c>
      <c r="DM7" s="63">
        <f t="shared" si="116"/>
        <v>0.1875</v>
      </c>
      <c r="DN7" s="61">
        <f t="shared" si="117"/>
        <v>1</v>
      </c>
      <c r="DO7" s="61">
        <f t="shared" si="118"/>
        <v>0</v>
      </c>
      <c r="DP7" s="61">
        <f t="shared" si="119"/>
        <v>1</v>
      </c>
      <c r="DQ7" s="62">
        <f t="shared" si="120"/>
        <v>0.25</v>
      </c>
      <c r="DR7" s="63">
        <f t="shared" si="121"/>
        <v>0.33333333333333331</v>
      </c>
      <c r="DS7" s="61">
        <f t="shared" si="122"/>
        <v>54.129999999999995</v>
      </c>
      <c r="DT7" s="62">
        <f t="shared" si="123"/>
        <v>13.532499999999999</v>
      </c>
      <c r="DU7" s="61">
        <f t="shared" si="124"/>
        <v>47.8</v>
      </c>
      <c r="DV7" s="62">
        <f t="shared" si="125"/>
        <v>11.95</v>
      </c>
      <c r="DW7" s="61">
        <f t="shared" si="138"/>
        <v>25.25</v>
      </c>
      <c r="DX7" s="62">
        <f t="shared" si="126"/>
        <v>6.3125</v>
      </c>
      <c r="DY7" s="63">
        <f t="shared" si="127"/>
        <v>0.883059301681138</v>
      </c>
      <c r="DZ7" s="62">
        <f t="shared" si="128"/>
        <v>42.2</v>
      </c>
      <c r="EA7" s="62">
        <f t="shared" si="129"/>
        <v>10.55</v>
      </c>
      <c r="EB7" s="62">
        <f t="shared" si="130"/>
        <v>7.2</v>
      </c>
      <c r="EC7" s="61">
        <f t="shared" si="131"/>
        <v>4</v>
      </c>
      <c r="ED7" s="62">
        <f t="shared" si="132"/>
        <v>1</v>
      </c>
      <c r="EE7" s="61">
        <f t="shared" si="133"/>
        <v>26</v>
      </c>
      <c r="EF7" s="62">
        <f t="shared" si="134"/>
        <v>6.5</v>
      </c>
      <c r="EG7" s="61">
        <f t="shared" si="135"/>
        <v>79.2</v>
      </c>
      <c r="EH7" s="62">
        <f t="shared" si="136"/>
        <v>19.8</v>
      </c>
      <c r="EI7" s="62">
        <f t="shared" si="137"/>
        <v>6.9</v>
      </c>
      <c r="EJ7" s="296"/>
      <c r="EK7" s="292" t="s">
        <v>782</v>
      </c>
      <c r="EL7" s="292" t="s">
        <v>657</v>
      </c>
      <c r="EM7" s="292">
        <v>43</v>
      </c>
      <c r="EN7" s="393">
        <v>0</v>
      </c>
      <c r="EO7" s="292" t="s">
        <v>855</v>
      </c>
      <c r="EP7" s="292" t="s">
        <v>13</v>
      </c>
      <c r="EQ7" s="292" t="s">
        <v>607</v>
      </c>
      <c r="ER7" s="293">
        <v>46173</v>
      </c>
      <c r="ES7" s="292" t="s">
        <v>948</v>
      </c>
      <c r="ET7" s="292">
        <v>360</v>
      </c>
      <c r="EU7" s="292">
        <v>4</v>
      </c>
      <c r="EV7" s="292">
        <v>0</v>
      </c>
      <c r="EW7" s="292">
        <v>0</v>
      </c>
      <c r="EX7" s="292">
        <v>0</v>
      </c>
      <c r="EY7" s="292">
        <v>1</v>
      </c>
      <c r="EZ7" s="292">
        <v>1</v>
      </c>
      <c r="FA7" s="292">
        <v>0</v>
      </c>
      <c r="FB7" s="292">
        <v>8</v>
      </c>
      <c r="FC7" s="292">
        <v>2</v>
      </c>
      <c r="FD7" s="292">
        <v>22</v>
      </c>
      <c r="FE7" s="292">
        <v>24</v>
      </c>
      <c r="FF7" s="292">
        <v>0.2</v>
      </c>
      <c r="FG7" s="292">
        <v>1</v>
      </c>
      <c r="FH7" s="292">
        <v>1</v>
      </c>
      <c r="FI7" s="292">
        <v>4</v>
      </c>
      <c r="FJ7" s="292">
        <v>2</v>
      </c>
      <c r="FK7" s="292">
        <v>19.8</v>
      </c>
      <c r="FL7" s="292">
        <v>0</v>
      </c>
      <c r="FM7" s="292">
        <v>13</v>
      </c>
      <c r="FN7" s="292">
        <v>3</v>
      </c>
      <c r="FO7" s="292">
        <v>5</v>
      </c>
      <c r="FP7" s="292" t="s">
        <v>949</v>
      </c>
      <c r="FQ7" s="292">
        <v>7.2</v>
      </c>
      <c r="FR7" s="292">
        <v>4</v>
      </c>
      <c r="FS7" s="292">
        <v>9</v>
      </c>
      <c r="FT7" s="292">
        <v>197</v>
      </c>
      <c r="FU7" s="292">
        <v>176</v>
      </c>
      <c r="FV7" s="292">
        <v>0</v>
      </c>
      <c r="FW7" s="292">
        <v>2</v>
      </c>
      <c r="FX7" s="292">
        <v>0</v>
      </c>
      <c r="FY7" s="292">
        <v>0</v>
      </c>
      <c r="FZ7" s="292">
        <v>0</v>
      </c>
      <c r="GA7" s="292" t="s">
        <v>928</v>
      </c>
      <c r="GB7" s="292" t="s">
        <v>811</v>
      </c>
      <c r="GC7" s="292">
        <v>1</v>
      </c>
      <c r="GD7" s="292">
        <v>0</v>
      </c>
      <c r="GE7" s="297">
        <v>6.9</v>
      </c>
    </row>
    <row r="8" spans="1:194" ht="24.95" customHeight="1" thickBot="1" x14ac:dyDescent="0.3">
      <c r="A8" s="29" t="str">
        <f t="shared" si="0"/>
        <v>7º</v>
      </c>
      <c r="B8" s="101" t="str">
        <f t="shared" si="1"/>
        <v>Felipe Augusto</v>
      </c>
      <c r="C8" s="86" t="str">
        <f t="shared" si="2"/>
        <v>BRA</v>
      </c>
      <c r="D8" s="99" t="str">
        <f t="shared" si="3"/>
        <v>Pé Direito</v>
      </c>
      <c r="E8" s="67" t="str">
        <f t="shared" si="4"/>
        <v>Rondoniense</v>
      </c>
      <c r="F8" s="166">
        <f t="shared" si="5"/>
        <v>1.87</v>
      </c>
      <c r="G8" s="169">
        <f t="shared" si="6"/>
        <v>27</v>
      </c>
      <c r="H8" s="68">
        <f t="shared" si="7"/>
        <v>0</v>
      </c>
      <c r="I8" s="198">
        <f t="shared" si="8"/>
        <v>46173</v>
      </c>
      <c r="J8" s="301" t="str">
        <f t="shared" si="9"/>
        <v>€1,2m p/m</v>
      </c>
      <c r="K8" s="96">
        <f t="shared" si="10"/>
        <v>4.5855555555555556</v>
      </c>
      <c r="L8" s="145">
        <f t="shared" si="11"/>
        <v>3.9444444444444446</v>
      </c>
      <c r="M8" s="145">
        <f t="shared" si="12"/>
        <v>5</v>
      </c>
      <c r="N8" s="145">
        <f t="shared" si="13"/>
        <v>71</v>
      </c>
      <c r="O8" s="190">
        <f t="shared" si="14"/>
        <v>0.6</v>
      </c>
      <c r="P8" s="55">
        <f t="shared" si="15"/>
        <v>0</v>
      </c>
      <c r="Q8" s="55">
        <f t="shared" si="16"/>
        <v>0</v>
      </c>
      <c r="R8" s="55">
        <f t="shared" si="17"/>
        <v>0</v>
      </c>
      <c r="S8" s="57">
        <f t="shared" si="18"/>
        <v>0</v>
      </c>
      <c r="T8" s="57">
        <f t="shared" si="19"/>
        <v>0</v>
      </c>
      <c r="U8" s="57">
        <f t="shared" si="20"/>
        <v>0.15</v>
      </c>
      <c r="V8" s="57">
        <f t="shared" si="21"/>
        <v>3.8028169014084505E-2</v>
      </c>
      <c r="W8" s="57">
        <f t="shared" si="22"/>
        <v>0.15</v>
      </c>
      <c r="X8" s="57">
        <f t="shared" si="23"/>
        <v>3.8028169014084505E-2</v>
      </c>
      <c r="Y8" s="57">
        <f t="shared" si="24"/>
        <v>0</v>
      </c>
      <c r="Z8" s="57">
        <f t="shared" si="25"/>
        <v>0</v>
      </c>
      <c r="AA8" s="57">
        <f t="shared" si="26"/>
        <v>0.15</v>
      </c>
      <c r="AB8" s="57">
        <f t="shared" si="27"/>
        <v>3.8028169014084505E-2</v>
      </c>
      <c r="AC8" s="56">
        <f t="shared" si="28"/>
        <v>0</v>
      </c>
      <c r="AD8" s="57">
        <f t="shared" si="29"/>
        <v>5400</v>
      </c>
      <c r="AE8" s="63">
        <f t="shared" si="30"/>
        <v>0</v>
      </c>
      <c r="AF8" s="306">
        <f t="shared" si="31"/>
        <v>0</v>
      </c>
      <c r="AG8" s="306">
        <f t="shared" si="32"/>
        <v>0</v>
      </c>
      <c r="AH8" s="56">
        <f t="shared" si="33"/>
        <v>0</v>
      </c>
      <c r="AI8" s="60">
        <f t="shared" si="34"/>
        <v>9.9999999999999995E-8</v>
      </c>
      <c r="AJ8" s="302">
        <f t="shared" si="35"/>
        <v>0</v>
      </c>
      <c r="AK8" s="303">
        <f t="shared" si="36"/>
        <v>0</v>
      </c>
      <c r="AL8" s="56">
        <f t="shared" si="37"/>
        <v>23</v>
      </c>
      <c r="AM8" s="57">
        <f t="shared" si="38"/>
        <v>5.8309859154929571</v>
      </c>
      <c r="AN8" s="56">
        <f t="shared" si="39"/>
        <v>19</v>
      </c>
      <c r="AO8" s="57">
        <f t="shared" si="40"/>
        <v>4.816901408450704</v>
      </c>
      <c r="AP8" s="60">
        <f t="shared" si="41"/>
        <v>0.82608695652173914</v>
      </c>
      <c r="AQ8" s="56">
        <f t="shared" si="42"/>
        <v>4</v>
      </c>
      <c r="AR8" s="57">
        <f t="shared" si="43"/>
        <v>1.0140845070422535</v>
      </c>
      <c r="AS8" s="60">
        <f t="shared" si="44"/>
        <v>0.17391304347826086</v>
      </c>
      <c r="AT8" s="210">
        <f t="shared" si="45"/>
        <v>5.1277777777777782</v>
      </c>
      <c r="AU8" s="209">
        <f t="shared" si="46"/>
        <v>1.3</v>
      </c>
      <c r="AV8" s="63">
        <f t="shared" si="47"/>
        <v>8.6956521739130432E-2</v>
      </c>
      <c r="AW8" s="210">
        <f t="shared" si="48"/>
        <v>2</v>
      </c>
      <c r="AX8" s="209">
        <f t="shared" si="49"/>
        <v>0.50704225352112675</v>
      </c>
      <c r="AY8" s="210">
        <f t="shared" si="50"/>
        <v>1</v>
      </c>
      <c r="AZ8" s="209">
        <f t="shared" si="51"/>
        <v>0.25352112676056338</v>
      </c>
      <c r="BA8" s="63">
        <f t="shared" si="52"/>
        <v>0.5</v>
      </c>
      <c r="BB8" s="358">
        <f t="shared" si="53"/>
        <v>7.4999999999999997E-2</v>
      </c>
      <c r="BC8" s="357">
        <f t="shared" si="54"/>
        <v>0.15</v>
      </c>
      <c r="BD8" s="357">
        <f t="shared" si="55"/>
        <v>-0.15</v>
      </c>
      <c r="BE8" s="357">
        <f t="shared" si="56"/>
        <v>-0.15</v>
      </c>
      <c r="BF8" s="56">
        <f t="shared" si="57"/>
        <v>19</v>
      </c>
      <c r="BG8" s="57">
        <f t="shared" si="58"/>
        <v>4.816901408450704</v>
      </c>
      <c r="BH8" s="56">
        <f t="shared" si="59"/>
        <v>0</v>
      </c>
      <c r="BI8" s="57">
        <f t="shared" si="60"/>
        <v>0</v>
      </c>
      <c r="BJ8" s="57">
        <f t="shared" si="61"/>
        <v>5.0704225352112671</v>
      </c>
      <c r="BK8" s="222">
        <f t="shared" si="62"/>
        <v>6</v>
      </c>
      <c r="BL8" s="220">
        <f t="shared" si="63"/>
        <v>1.5211267605633803</v>
      </c>
      <c r="BM8" s="56">
        <f t="shared" si="64"/>
        <v>4</v>
      </c>
      <c r="BN8" s="57">
        <f t="shared" si="65"/>
        <v>1.0140845070422535</v>
      </c>
      <c r="BO8" s="58">
        <f t="shared" si="66"/>
        <v>2</v>
      </c>
      <c r="BP8" s="57">
        <f t="shared" si="67"/>
        <v>0.50704225352112675</v>
      </c>
      <c r="BQ8" s="75">
        <f t="shared" si="68"/>
        <v>0</v>
      </c>
      <c r="BR8" s="57">
        <f t="shared" si="69"/>
        <v>0</v>
      </c>
      <c r="BS8" s="114">
        <f t="shared" si="70"/>
        <v>0.5</v>
      </c>
      <c r="BT8" s="56">
        <f t="shared" si="71"/>
        <v>1</v>
      </c>
      <c r="BU8" s="57">
        <f t="shared" si="72"/>
        <v>0.25352112676056338</v>
      </c>
      <c r="BV8" s="61">
        <f t="shared" si="73"/>
        <v>9</v>
      </c>
      <c r="BW8" s="62">
        <f t="shared" si="74"/>
        <v>2.2816901408450705</v>
      </c>
      <c r="BX8" s="61">
        <f t="shared" si="75"/>
        <v>4</v>
      </c>
      <c r="BY8" s="62">
        <f t="shared" si="76"/>
        <v>1.0140845070422535</v>
      </c>
      <c r="BZ8" s="63">
        <f t="shared" si="77"/>
        <v>0.44444444444444442</v>
      </c>
      <c r="CA8" s="61">
        <f t="shared" si="78"/>
        <v>186</v>
      </c>
      <c r="CB8" s="62">
        <f t="shared" si="79"/>
        <v>47.154929577464785</v>
      </c>
      <c r="CC8" s="61">
        <f t="shared" si="80"/>
        <v>141</v>
      </c>
      <c r="CD8" s="62">
        <f t="shared" si="81"/>
        <v>35.746478873239433</v>
      </c>
      <c r="CE8" s="63">
        <f t="shared" si="82"/>
        <v>0.75806451612903225</v>
      </c>
      <c r="CF8" s="56">
        <f t="shared" si="83"/>
        <v>180</v>
      </c>
      <c r="CG8" s="62">
        <f t="shared" si="84"/>
        <v>35.746478873239433</v>
      </c>
      <c r="CH8" s="61">
        <f t="shared" si="85"/>
        <v>6</v>
      </c>
      <c r="CI8" s="62">
        <f t="shared" si="86"/>
        <v>1.5211267605633803</v>
      </c>
      <c r="CJ8" s="305">
        <f t="shared" si="87"/>
        <v>3.3333333333333333E-2</v>
      </c>
      <c r="CK8" s="360">
        <f t="shared" si="88"/>
        <v>45</v>
      </c>
      <c r="CL8" s="361">
        <f t="shared" si="89"/>
        <v>11.408450704225352</v>
      </c>
      <c r="CM8" s="305">
        <f t="shared" si="90"/>
        <v>0.24193548387096775</v>
      </c>
      <c r="CN8" s="210">
        <f t="shared" si="91"/>
        <v>1</v>
      </c>
      <c r="CO8" s="209">
        <f t="shared" si="92"/>
        <v>0.25352112676056338</v>
      </c>
      <c r="CP8" s="209">
        <f t="shared" si="93"/>
        <v>0</v>
      </c>
      <c r="CQ8" s="210">
        <f t="shared" si="94"/>
        <v>1</v>
      </c>
      <c r="CR8" s="62">
        <f t="shared" si="95"/>
        <v>0.25352112676056338</v>
      </c>
      <c r="CS8" s="61">
        <f t="shared" si="96"/>
        <v>34</v>
      </c>
      <c r="CT8" s="62">
        <f t="shared" si="97"/>
        <v>8.6197183098591541</v>
      </c>
      <c r="CU8" s="61">
        <f t="shared" si="98"/>
        <v>25</v>
      </c>
      <c r="CV8" s="62">
        <f t="shared" si="99"/>
        <v>6.3380281690140841</v>
      </c>
      <c r="CW8" s="372">
        <f t="shared" si="100"/>
        <v>9</v>
      </c>
      <c r="CX8" s="373">
        <f t="shared" si="101"/>
        <v>2.2816901408450705</v>
      </c>
      <c r="CY8" s="63">
        <f t="shared" si="102"/>
        <v>0.73529411764705888</v>
      </c>
      <c r="CZ8" s="61">
        <f t="shared" si="103"/>
        <v>25.5</v>
      </c>
      <c r="DA8" s="62">
        <f t="shared" si="104"/>
        <v>6.464788732394366</v>
      </c>
      <c r="DB8" s="61">
        <f t="shared" si="105"/>
        <v>6.5</v>
      </c>
      <c r="DC8" s="62">
        <f t="shared" si="106"/>
        <v>1.647887323943662</v>
      </c>
      <c r="DD8" s="320">
        <f t="shared" si="107"/>
        <v>30</v>
      </c>
      <c r="DE8" s="321">
        <f t="shared" si="108"/>
        <v>7.605633802816901</v>
      </c>
      <c r="DF8" s="320">
        <f t="shared" si="109"/>
        <v>25</v>
      </c>
      <c r="DG8" s="321">
        <f t="shared" si="110"/>
        <v>6.3380281690140841</v>
      </c>
      <c r="DH8" s="63">
        <f t="shared" si="111"/>
        <v>0.83333333333333337</v>
      </c>
      <c r="DI8" s="372">
        <f t="shared" si="112"/>
        <v>7</v>
      </c>
      <c r="DJ8" s="373">
        <f t="shared" si="113"/>
        <v>1.7746478873239435</v>
      </c>
      <c r="DK8" s="320">
        <f t="shared" si="114"/>
        <v>2</v>
      </c>
      <c r="DL8" s="62">
        <f t="shared" si="115"/>
        <v>0.50704225352112675</v>
      </c>
      <c r="DM8" s="63">
        <f t="shared" si="116"/>
        <v>0.23333333333333334</v>
      </c>
      <c r="DN8" s="61">
        <f t="shared" si="117"/>
        <v>2</v>
      </c>
      <c r="DO8" s="61">
        <f t="shared" si="118"/>
        <v>0</v>
      </c>
      <c r="DP8" s="61">
        <f t="shared" si="119"/>
        <v>2</v>
      </c>
      <c r="DQ8" s="62">
        <f t="shared" si="120"/>
        <v>0.50704225352112675</v>
      </c>
      <c r="DR8" s="63">
        <f t="shared" si="121"/>
        <v>1</v>
      </c>
      <c r="DS8" s="61">
        <f t="shared" si="122"/>
        <v>59.787777777777777</v>
      </c>
      <c r="DT8" s="62">
        <f t="shared" si="123"/>
        <v>15.157464788732394</v>
      </c>
      <c r="DU8" s="61">
        <f t="shared" si="124"/>
        <v>52.62777777777778</v>
      </c>
      <c r="DV8" s="62">
        <f t="shared" si="125"/>
        <v>13.342253521126761</v>
      </c>
      <c r="DW8" s="61">
        <f t="shared" si="138"/>
        <v>49.5</v>
      </c>
      <c r="DX8" s="62">
        <f t="shared" si="126"/>
        <v>12.549295774647886</v>
      </c>
      <c r="DY8" s="63">
        <f t="shared" si="127"/>
        <v>0.88024308201230284</v>
      </c>
      <c r="DZ8" s="62">
        <f t="shared" si="128"/>
        <v>33.200000000000003</v>
      </c>
      <c r="EA8" s="62">
        <f t="shared" si="129"/>
        <v>8.4169014084507037</v>
      </c>
      <c r="EB8" s="62">
        <f t="shared" si="130"/>
        <v>4.3</v>
      </c>
      <c r="EC8" s="61">
        <f t="shared" si="131"/>
        <v>0</v>
      </c>
      <c r="ED8" s="62">
        <f t="shared" si="132"/>
        <v>0</v>
      </c>
      <c r="EE8" s="61">
        <f t="shared" si="133"/>
        <v>51</v>
      </c>
      <c r="EF8" s="62">
        <f t="shared" si="134"/>
        <v>12.929577464788732</v>
      </c>
      <c r="EG8" s="61">
        <f t="shared" si="135"/>
        <v>65.87222222222222</v>
      </c>
      <c r="EH8" s="62">
        <f t="shared" si="136"/>
        <v>16.7</v>
      </c>
      <c r="EI8" s="62">
        <f t="shared" si="137"/>
        <v>6.8</v>
      </c>
      <c r="EJ8" s="296" t="s">
        <v>19</v>
      </c>
      <c r="EK8" s="292" t="s">
        <v>952</v>
      </c>
      <c r="EL8" s="292" t="s">
        <v>630</v>
      </c>
      <c r="EM8" s="292">
        <v>27</v>
      </c>
      <c r="EN8" s="393">
        <v>0</v>
      </c>
      <c r="EO8" s="292" t="s">
        <v>855</v>
      </c>
      <c r="EP8" s="292" t="s">
        <v>13</v>
      </c>
      <c r="EQ8" s="292" t="s">
        <v>601</v>
      </c>
      <c r="ER8" s="293">
        <v>46173</v>
      </c>
      <c r="ES8" s="292" t="s">
        <v>857</v>
      </c>
      <c r="ET8" s="292">
        <v>355</v>
      </c>
      <c r="EU8" s="292" t="s">
        <v>953</v>
      </c>
      <c r="EV8" s="292">
        <v>0</v>
      </c>
      <c r="EW8" s="292">
        <v>0</v>
      </c>
      <c r="EX8" s="292">
        <v>0</v>
      </c>
      <c r="EY8" s="292">
        <v>0</v>
      </c>
      <c r="EZ8" s="292">
        <v>2</v>
      </c>
      <c r="FA8" s="292">
        <v>0</v>
      </c>
      <c r="FB8" s="292">
        <v>9</v>
      </c>
      <c r="FC8" s="292">
        <v>4</v>
      </c>
      <c r="FD8" s="292">
        <v>19</v>
      </c>
      <c r="FE8" s="292">
        <v>23</v>
      </c>
      <c r="FF8" s="292">
        <v>1.3</v>
      </c>
      <c r="FG8" s="292">
        <v>2</v>
      </c>
      <c r="FH8" s="292">
        <v>2</v>
      </c>
      <c r="FI8" s="292">
        <v>3</v>
      </c>
      <c r="FJ8" s="292">
        <v>0</v>
      </c>
      <c r="FK8" s="292">
        <v>16.7</v>
      </c>
      <c r="FL8" s="292">
        <v>1</v>
      </c>
      <c r="FM8" s="292">
        <v>16</v>
      </c>
      <c r="FN8" s="292">
        <v>2</v>
      </c>
      <c r="FO8" s="292">
        <v>6</v>
      </c>
      <c r="FP8" s="292" t="s">
        <v>917</v>
      </c>
      <c r="FQ8" s="292">
        <v>4.3</v>
      </c>
      <c r="FR8" s="292">
        <v>0</v>
      </c>
      <c r="FS8" s="292">
        <v>6</v>
      </c>
      <c r="FT8" s="292">
        <v>186</v>
      </c>
      <c r="FU8" s="292">
        <v>141</v>
      </c>
      <c r="FV8" s="292">
        <v>0</v>
      </c>
      <c r="FW8" s="292">
        <v>2</v>
      </c>
      <c r="FX8" s="292">
        <v>1</v>
      </c>
      <c r="FY8" s="292">
        <v>0</v>
      </c>
      <c r="FZ8" s="292">
        <v>0</v>
      </c>
      <c r="GA8" s="292" t="s">
        <v>933</v>
      </c>
      <c r="GB8" s="292">
        <v>0</v>
      </c>
      <c r="GC8" s="292">
        <v>1</v>
      </c>
      <c r="GD8" s="292">
        <v>0</v>
      </c>
      <c r="GE8" s="297">
        <v>6.8</v>
      </c>
    </row>
    <row r="9" spans="1:194" ht="24.95" customHeight="1" thickBot="1" x14ac:dyDescent="0.3">
      <c r="A9" s="29" t="str">
        <f t="shared" si="0"/>
        <v>8º</v>
      </c>
      <c r="B9" s="101" t="str">
        <f t="shared" si="1"/>
        <v>Wembley</v>
      </c>
      <c r="C9" s="86" t="str">
        <f t="shared" si="2"/>
        <v>BRA</v>
      </c>
      <c r="D9" s="99" t="str">
        <f t="shared" si="3"/>
        <v>Pé Direito</v>
      </c>
      <c r="E9" s="67" t="str">
        <f t="shared" si="4"/>
        <v>Ji-Paraná</v>
      </c>
      <c r="F9" s="166">
        <f t="shared" si="5"/>
        <v>1.86</v>
      </c>
      <c r="G9" s="169">
        <f t="shared" si="6"/>
        <v>29</v>
      </c>
      <c r="H9" s="68">
        <f t="shared" si="7"/>
        <v>0</v>
      </c>
      <c r="I9" s="198">
        <f t="shared" si="8"/>
        <v>46173</v>
      </c>
      <c r="J9" s="301" t="str">
        <f t="shared" si="9"/>
        <v>€1,2m p/m</v>
      </c>
      <c r="K9" s="96">
        <f t="shared" si="10"/>
        <v>4.5855555555555556</v>
      </c>
      <c r="L9" s="145">
        <f t="shared" si="11"/>
        <v>5.2888888888888888</v>
      </c>
      <c r="M9" s="145">
        <f t="shared" si="12"/>
        <v>6</v>
      </c>
      <c r="N9" s="145">
        <f t="shared" si="13"/>
        <v>79.333333333333329</v>
      </c>
      <c r="O9" s="190">
        <f t="shared" si="14"/>
        <v>1</v>
      </c>
      <c r="P9" s="55">
        <f t="shared" si="15"/>
        <v>0</v>
      </c>
      <c r="Q9" s="55">
        <f t="shared" si="16"/>
        <v>1</v>
      </c>
      <c r="R9" s="55">
        <f t="shared" si="17"/>
        <v>1</v>
      </c>
      <c r="S9" s="57">
        <f t="shared" si="18"/>
        <v>0</v>
      </c>
      <c r="T9" s="57">
        <f t="shared" si="19"/>
        <v>0.18907563025210083</v>
      </c>
      <c r="U9" s="57">
        <f t="shared" si="20"/>
        <v>1.34</v>
      </c>
      <c r="V9" s="57">
        <f t="shared" si="21"/>
        <v>0.25336134453781517</v>
      </c>
      <c r="W9" s="57">
        <f t="shared" si="22"/>
        <v>1.34</v>
      </c>
      <c r="X9" s="57">
        <f t="shared" si="23"/>
        <v>0.25336134453781517</v>
      </c>
      <c r="Y9" s="57">
        <f t="shared" si="24"/>
        <v>0.2</v>
      </c>
      <c r="Z9" s="57">
        <f t="shared" si="25"/>
        <v>3.7815126050420172E-2</v>
      </c>
      <c r="AA9" s="57">
        <f t="shared" si="26"/>
        <v>1.54</v>
      </c>
      <c r="AB9" s="57">
        <f t="shared" si="27"/>
        <v>0.29117647058823531</v>
      </c>
      <c r="AC9" s="56">
        <f t="shared" si="28"/>
        <v>2</v>
      </c>
      <c r="AD9" s="57">
        <f t="shared" si="29"/>
        <v>238</v>
      </c>
      <c r="AE9" s="63">
        <f t="shared" si="30"/>
        <v>0.37815126050420167</v>
      </c>
      <c r="AF9" s="306">
        <f t="shared" si="31"/>
        <v>0</v>
      </c>
      <c r="AG9" s="306">
        <f t="shared" si="32"/>
        <v>0</v>
      </c>
      <c r="AH9" s="56">
        <f t="shared" si="33"/>
        <v>0</v>
      </c>
      <c r="AI9" s="60">
        <f t="shared" si="34"/>
        <v>9.9999999999999995E-8</v>
      </c>
      <c r="AJ9" s="302">
        <f t="shared" si="35"/>
        <v>0</v>
      </c>
      <c r="AK9" s="303">
        <f t="shared" si="36"/>
        <v>0</v>
      </c>
      <c r="AL9" s="56">
        <f t="shared" si="37"/>
        <v>37</v>
      </c>
      <c r="AM9" s="57">
        <f t="shared" si="38"/>
        <v>6.9957983193277311</v>
      </c>
      <c r="AN9" s="56">
        <f t="shared" si="39"/>
        <v>30</v>
      </c>
      <c r="AO9" s="57">
        <f t="shared" si="40"/>
        <v>5.6722689075630255</v>
      </c>
      <c r="AP9" s="60">
        <f t="shared" si="41"/>
        <v>0.81081081081081086</v>
      </c>
      <c r="AQ9" s="56">
        <f t="shared" si="42"/>
        <v>7</v>
      </c>
      <c r="AR9" s="57">
        <f t="shared" si="43"/>
        <v>1.3235294117647058</v>
      </c>
      <c r="AS9" s="60">
        <f t="shared" si="44"/>
        <v>0.1891891891891892</v>
      </c>
      <c r="AT9" s="210">
        <f t="shared" si="45"/>
        <v>4.2311111111111108</v>
      </c>
      <c r="AU9" s="209">
        <f t="shared" si="46"/>
        <v>0.8</v>
      </c>
      <c r="AV9" s="63">
        <f t="shared" si="47"/>
        <v>0.21621621621621623</v>
      </c>
      <c r="AW9" s="210">
        <f t="shared" si="48"/>
        <v>8</v>
      </c>
      <c r="AX9" s="209">
        <f t="shared" si="49"/>
        <v>1.5126050420168067</v>
      </c>
      <c r="AY9" s="210">
        <f t="shared" si="50"/>
        <v>1</v>
      </c>
      <c r="AZ9" s="209">
        <f t="shared" si="51"/>
        <v>0.18907563025210083</v>
      </c>
      <c r="BA9" s="63">
        <f t="shared" si="52"/>
        <v>0.125</v>
      </c>
      <c r="BB9" s="358">
        <f t="shared" si="53"/>
        <v>0.16750000000000001</v>
      </c>
      <c r="BC9" s="357">
        <f t="shared" si="54"/>
        <v>1.34</v>
      </c>
      <c r="BD9" s="357">
        <f t="shared" si="55"/>
        <v>-1.34</v>
      </c>
      <c r="BE9" s="357">
        <f t="shared" si="56"/>
        <v>-1.34</v>
      </c>
      <c r="BF9" s="56">
        <f t="shared" si="57"/>
        <v>29</v>
      </c>
      <c r="BG9" s="57">
        <f t="shared" si="58"/>
        <v>5.4831932773109244</v>
      </c>
      <c r="BH9" s="56">
        <f t="shared" si="59"/>
        <v>1</v>
      </c>
      <c r="BI9" s="57">
        <f t="shared" si="60"/>
        <v>0.18907563025210083</v>
      </c>
      <c r="BJ9" s="57">
        <f t="shared" si="61"/>
        <v>5.4831932773109244</v>
      </c>
      <c r="BK9" s="222">
        <f t="shared" si="62"/>
        <v>9</v>
      </c>
      <c r="BL9" s="220">
        <f t="shared" si="63"/>
        <v>1.7016806722689075</v>
      </c>
      <c r="BM9" s="56">
        <f t="shared" si="64"/>
        <v>4</v>
      </c>
      <c r="BN9" s="57">
        <f t="shared" si="65"/>
        <v>0.75630252100840334</v>
      </c>
      <c r="BO9" s="58">
        <f t="shared" si="66"/>
        <v>2</v>
      </c>
      <c r="BP9" s="57">
        <f t="shared" si="67"/>
        <v>0.37815126050420167</v>
      </c>
      <c r="BQ9" s="75">
        <f t="shared" si="68"/>
        <v>0</v>
      </c>
      <c r="BR9" s="57">
        <f t="shared" si="69"/>
        <v>0</v>
      </c>
      <c r="BS9" s="114">
        <f t="shared" si="70"/>
        <v>0.5</v>
      </c>
      <c r="BT9" s="56">
        <f t="shared" si="71"/>
        <v>0</v>
      </c>
      <c r="BU9" s="57">
        <f t="shared" si="72"/>
        <v>0</v>
      </c>
      <c r="BV9" s="61">
        <f t="shared" si="73"/>
        <v>11</v>
      </c>
      <c r="BW9" s="62">
        <f t="shared" si="74"/>
        <v>2.0798319327731094</v>
      </c>
      <c r="BX9" s="61">
        <f t="shared" si="75"/>
        <v>3</v>
      </c>
      <c r="BY9" s="62">
        <f t="shared" si="76"/>
        <v>0.5672268907563025</v>
      </c>
      <c r="BZ9" s="63">
        <f t="shared" si="77"/>
        <v>0.27272727272727271</v>
      </c>
      <c r="CA9" s="61">
        <f t="shared" si="78"/>
        <v>259</v>
      </c>
      <c r="CB9" s="62">
        <f t="shared" si="79"/>
        <v>48.970588235294116</v>
      </c>
      <c r="CC9" s="61">
        <f t="shared" si="80"/>
        <v>228</v>
      </c>
      <c r="CD9" s="62">
        <f t="shared" si="81"/>
        <v>43.109243697478995</v>
      </c>
      <c r="CE9" s="63">
        <f t="shared" si="82"/>
        <v>0.88030888030888033</v>
      </c>
      <c r="CF9" s="56">
        <f t="shared" si="83"/>
        <v>243</v>
      </c>
      <c r="CG9" s="62">
        <f t="shared" si="84"/>
        <v>43.109243697478995</v>
      </c>
      <c r="CH9" s="61">
        <f t="shared" si="85"/>
        <v>16</v>
      </c>
      <c r="CI9" s="62">
        <f t="shared" si="86"/>
        <v>3.0252100840336134</v>
      </c>
      <c r="CJ9" s="305">
        <f t="shared" si="87"/>
        <v>6.584362139917696E-2</v>
      </c>
      <c r="CK9" s="360">
        <f t="shared" si="88"/>
        <v>31</v>
      </c>
      <c r="CL9" s="361">
        <f t="shared" si="89"/>
        <v>5.8613445378151265</v>
      </c>
      <c r="CM9" s="305">
        <f t="shared" si="90"/>
        <v>0.11969111969111969</v>
      </c>
      <c r="CN9" s="210">
        <f t="shared" si="91"/>
        <v>2</v>
      </c>
      <c r="CO9" s="209">
        <f t="shared" si="92"/>
        <v>0.37815126050420167</v>
      </c>
      <c r="CP9" s="209">
        <f t="shared" si="93"/>
        <v>0.1</v>
      </c>
      <c r="CQ9" s="210">
        <f t="shared" si="94"/>
        <v>2</v>
      </c>
      <c r="CR9" s="62">
        <f t="shared" si="95"/>
        <v>0.37815126050420167</v>
      </c>
      <c r="CS9" s="61">
        <f t="shared" si="96"/>
        <v>50</v>
      </c>
      <c r="CT9" s="62">
        <f t="shared" si="97"/>
        <v>9.4537815126050422</v>
      </c>
      <c r="CU9" s="61">
        <f t="shared" si="98"/>
        <v>35</v>
      </c>
      <c r="CV9" s="62">
        <f t="shared" si="99"/>
        <v>6.6176470588235299</v>
      </c>
      <c r="CW9" s="372">
        <f t="shared" si="100"/>
        <v>15</v>
      </c>
      <c r="CX9" s="373">
        <f t="shared" si="101"/>
        <v>2.8361344537815127</v>
      </c>
      <c r="CY9" s="63">
        <f t="shared" si="102"/>
        <v>0.7</v>
      </c>
      <c r="CZ9" s="61">
        <f t="shared" si="103"/>
        <v>38</v>
      </c>
      <c r="DA9" s="62">
        <f t="shared" si="104"/>
        <v>7.1848739495798322</v>
      </c>
      <c r="DB9" s="61">
        <f t="shared" si="105"/>
        <v>5</v>
      </c>
      <c r="DC9" s="62">
        <f t="shared" si="106"/>
        <v>0.94537815126050417</v>
      </c>
      <c r="DD9" s="320">
        <f t="shared" si="107"/>
        <v>48</v>
      </c>
      <c r="DE9" s="321">
        <f t="shared" si="108"/>
        <v>9.0756302521008401</v>
      </c>
      <c r="DF9" s="320">
        <f t="shared" si="109"/>
        <v>39</v>
      </c>
      <c r="DG9" s="321">
        <f t="shared" si="110"/>
        <v>7.3739495798319332</v>
      </c>
      <c r="DH9" s="63">
        <f t="shared" si="111"/>
        <v>0.8125</v>
      </c>
      <c r="DI9" s="372">
        <f t="shared" si="112"/>
        <v>14</v>
      </c>
      <c r="DJ9" s="373">
        <f t="shared" si="113"/>
        <v>2.6470588235294117</v>
      </c>
      <c r="DK9" s="320">
        <f t="shared" si="114"/>
        <v>2</v>
      </c>
      <c r="DL9" s="62">
        <f t="shared" si="115"/>
        <v>0.37815126050420167</v>
      </c>
      <c r="DM9" s="63">
        <f t="shared" si="116"/>
        <v>0.29166666666666669</v>
      </c>
      <c r="DN9" s="61">
        <f t="shared" si="117"/>
        <v>1</v>
      </c>
      <c r="DO9" s="61">
        <f t="shared" si="118"/>
        <v>0</v>
      </c>
      <c r="DP9" s="61">
        <f t="shared" si="119"/>
        <v>1</v>
      </c>
      <c r="DQ9" s="62">
        <f t="shared" si="120"/>
        <v>0.18907563025210083</v>
      </c>
      <c r="DR9" s="63">
        <f t="shared" si="121"/>
        <v>0.5</v>
      </c>
      <c r="DS9" s="61">
        <f t="shared" si="122"/>
        <v>84.561111111111103</v>
      </c>
      <c r="DT9" s="62">
        <f t="shared" si="123"/>
        <v>15.98844537815126</v>
      </c>
      <c r="DU9" s="61">
        <f t="shared" si="124"/>
        <v>74.231111111111105</v>
      </c>
      <c r="DV9" s="62">
        <f t="shared" si="125"/>
        <v>14.035294117647059</v>
      </c>
      <c r="DW9" s="61">
        <f t="shared" si="138"/>
        <v>34.25</v>
      </c>
      <c r="DX9" s="62">
        <f t="shared" si="126"/>
        <v>6.4758403361344543</v>
      </c>
      <c r="DY9" s="63">
        <f t="shared" si="127"/>
        <v>0.87783982655541681</v>
      </c>
      <c r="DZ9" s="62">
        <f t="shared" si="128"/>
        <v>54.2</v>
      </c>
      <c r="EA9" s="62">
        <f t="shared" si="129"/>
        <v>10.247899159663866</v>
      </c>
      <c r="EB9" s="62">
        <f t="shared" si="130"/>
        <v>6.8</v>
      </c>
      <c r="EC9" s="61">
        <f t="shared" si="131"/>
        <v>0</v>
      </c>
      <c r="ED9" s="62">
        <f t="shared" si="132"/>
        <v>0</v>
      </c>
      <c r="EE9" s="61">
        <f t="shared" si="133"/>
        <v>40</v>
      </c>
      <c r="EF9" s="62">
        <f t="shared" si="134"/>
        <v>7.5630252100840334</v>
      </c>
      <c r="EG9" s="61">
        <f t="shared" si="135"/>
        <v>127.99111111111111</v>
      </c>
      <c r="EH9" s="62">
        <f t="shared" si="136"/>
        <v>24.2</v>
      </c>
      <c r="EI9" s="62">
        <f t="shared" si="137"/>
        <v>7.22</v>
      </c>
      <c r="EJ9" s="296"/>
      <c r="EK9" s="292" t="s">
        <v>936</v>
      </c>
      <c r="EL9" s="292" t="s">
        <v>557</v>
      </c>
      <c r="EM9" s="292">
        <v>29</v>
      </c>
      <c r="EN9" s="393">
        <v>0</v>
      </c>
      <c r="EO9" s="292" t="s">
        <v>855</v>
      </c>
      <c r="EP9" s="292" t="s">
        <v>13</v>
      </c>
      <c r="EQ9" s="292" t="s">
        <v>601</v>
      </c>
      <c r="ER9" s="293">
        <v>46173</v>
      </c>
      <c r="ES9" s="292" t="s">
        <v>860</v>
      </c>
      <c r="ET9" s="292">
        <v>476</v>
      </c>
      <c r="EU9" s="292">
        <v>6</v>
      </c>
      <c r="EV9" s="292">
        <v>2</v>
      </c>
      <c r="EW9" s="292">
        <v>0</v>
      </c>
      <c r="EX9" s="292">
        <v>0</v>
      </c>
      <c r="EY9" s="292">
        <v>1</v>
      </c>
      <c r="EZ9" s="292">
        <v>1</v>
      </c>
      <c r="FA9" s="292">
        <v>0</v>
      </c>
      <c r="FB9" s="292">
        <v>11</v>
      </c>
      <c r="FC9" s="292">
        <v>3</v>
      </c>
      <c r="FD9" s="292">
        <v>30</v>
      </c>
      <c r="FE9" s="292">
        <v>37</v>
      </c>
      <c r="FF9" s="292">
        <v>0.8</v>
      </c>
      <c r="FG9" s="292">
        <v>2</v>
      </c>
      <c r="FH9" s="292">
        <v>2</v>
      </c>
      <c r="FI9" s="292">
        <v>7</v>
      </c>
      <c r="FJ9" s="292">
        <v>1</v>
      </c>
      <c r="FK9" s="292">
        <v>24.2</v>
      </c>
      <c r="FL9" s="292">
        <v>0</v>
      </c>
      <c r="FM9" s="292">
        <v>21</v>
      </c>
      <c r="FN9" s="292">
        <v>2</v>
      </c>
      <c r="FO9" s="292">
        <v>9</v>
      </c>
      <c r="FP9" s="292" t="s">
        <v>937</v>
      </c>
      <c r="FQ9" s="292">
        <v>6.8</v>
      </c>
      <c r="FR9" s="292">
        <v>0</v>
      </c>
      <c r="FS9" s="292">
        <v>16</v>
      </c>
      <c r="FT9" s="292">
        <v>259</v>
      </c>
      <c r="FU9" s="292">
        <v>228</v>
      </c>
      <c r="FV9" s="292">
        <v>0</v>
      </c>
      <c r="FW9" s="292">
        <v>8</v>
      </c>
      <c r="FX9" s="292">
        <v>1</v>
      </c>
      <c r="FY9" s="292">
        <v>0</v>
      </c>
      <c r="FZ9" s="292">
        <v>0</v>
      </c>
      <c r="GA9" s="292" t="s">
        <v>938</v>
      </c>
      <c r="GB9" s="292" t="s">
        <v>831</v>
      </c>
      <c r="GC9" s="292">
        <v>2</v>
      </c>
      <c r="GD9" s="292">
        <v>0</v>
      </c>
      <c r="GE9" s="297">
        <v>7.22</v>
      </c>
    </row>
    <row r="10" spans="1:194" ht="24.95" customHeight="1" thickBot="1" x14ac:dyDescent="0.3">
      <c r="A10" s="29" t="str">
        <f t="shared" si="0"/>
        <v>9º</v>
      </c>
      <c r="B10" s="101" t="str">
        <f t="shared" si="1"/>
        <v>Sandoval</v>
      </c>
      <c r="C10" s="86" t="str">
        <f t="shared" si="2"/>
        <v>BRA</v>
      </c>
      <c r="D10" s="99" t="str">
        <f t="shared" si="3"/>
        <v>Pé Direito</v>
      </c>
      <c r="E10" s="67" t="str">
        <f t="shared" si="4"/>
        <v>Inter de Bebedouro</v>
      </c>
      <c r="F10" s="166">
        <f t="shared" si="5"/>
        <v>1.88</v>
      </c>
      <c r="G10" s="169">
        <f t="shared" si="6"/>
        <v>39</v>
      </c>
      <c r="H10" s="68">
        <f t="shared" si="7"/>
        <v>0</v>
      </c>
      <c r="I10" s="198">
        <f t="shared" si="8"/>
        <v>46173</v>
      </c>
      <c r="J10" s="301" t="str">
        <f t="shared" si="9"/>
        <v>€1,2m p/m</v>
      </c>
      <c r="K10" s="96">
        <f t="shared" si="10"/>
        <v>4.5855555555555556</v>
      </c>
      <c r="L10" s="145">
        <f t="shared" si="11"/>
        <v>4</v>
      </c>
      <c r="M10" s="145">
        <f t="shared" si="12"/>
        <v>4</v>
      </c>
      <c r="N10" s="145">
        <f t="shared" si="13"/>
        <v>90</v>
      </c>
      <c r="O10" s="190">
        <f t="shared" si="14"/>
        <v>1</v>
      </c>
      <c r="P10" s="55">
        <f t="shared" si="15"/>
        <v>1</v>
      </c>
      <c r="Q10" s="55">
        <f t="shared" si="16"/>
        <v>1</v>
      </c>
      <c r="R10" s="55">
        <f t="shared" si="17"/>
        <v>2</v>
      </c>
      <c r="S10" s="57">
        <f t="shared" si="18"/>
        <v>0.25</v>
      </c>
      <c r="T10" s="57">
        <f t="shared" si="19"/>
        <v>0.5</v>
      </c>
      <c r="U10" s="57">
        <f t="shared" si="20"/>
        <v>0.65</v>
      </c>
      <c r="V10" s="57">
        <f t="shared" si="21"/>
        <v>0.16250000000000001</v>
      </c>
      <c r="W10" s="57">
        <f t="shared" si="22"/>
        <v>0.65</v>
      </c>
      <c r="X10" s="57">
        <f t="shared" si="23"/>
        <v>0.16250000000000001</v>
      </c>
      <c r="Y10" s="57">
        <f t="shared" si="24"/>
        <v>0.41</v>
      </c>
      <c r="Z10" s="57">
        <f t="shared" si="25"/>
        <v>0.10249999999999999</v>
      </c>
      <c r="AA10" s="57">
        <f t="shared" si="26"/>
        <v>1.06</v>
      </c>
      <c r="AB10" s="57">
        <f t="shared" si="27"/>
        <v>0.26500000000000001</v>
      </c>
      <c r="AC10" s="56">
        <f t="shared" si="28"/>
        <v>1</v>
      </c>
      <c r="AD10" s="57">
        <f t="shared" si="29"/>
        <v>360</v>
      </c>
      <c r="AE10" s="63">
        <f t="shared" si="30"/>
        <v>0.25</v>
      </c>
      <c r="AF10" s="306">
        <f t="shared" si="31"/>
        <v>0</v>
      </c>
      <c r="AG10" s="306">
        <f t="shared" si="32"/>
        <v>0</v>
      </c>
      <c r="AH10" s="56">
        <f t="shared" si="33"/>
        <v>0</v>
      </c>
      <c r="AI10" s="60">
        <f t="shared" si="34"/>
        <v>9.9999999999999995E-8</v>
      </c>
      <c r="AJ10" s="302">
        <f t="shared" si="35"/>
        <v>0</v>
      </c>
      <c r="AK10" s="303">
        <f t="shared" si="36"/>
        <v>0</v>
      </c>
      <c r="AL10" s="56">
        <f t="shared" si="37"/>
        <v>27</v>
      </c>
      <c r="AM10" s="57">
        <f t="shared" si="38"/>
        <v>6.75</v>
      </c>
      <c r="AN10" s="56">
        <f t="shared" si="39"/>
        <v>24</v>
      </c>
      <c r="AO10" s="57">
        <f t="shared" si="40"/>
        <v>6</v>
      </c>
      <c r="AP10" s="60">
        <f t="shared" si="41"/>
        <v>0.88888888888888884</v>
      </c>
      <c r="AQ10" s="56">
        <f t="shared" si="42"/>
        <v>3</v>
      </c>
      <c r="AR10" s="57">
        <f t="shared" si="43"/>
        <v>0.75</v>
      </c>
      <c r="AS10" s="60">
        <f t="shared" si="44"/>
        <v>0.1111111111111111</v>
      </c>
      <c r="AT10" s="210">
        <f t="shared" si="45"/>
        <v>3.2</v>
      </c>
      <c r="AU10" s="209">
        <f t="shared" si="46"/>
        <v>0.8</v>
      </c>
      <c r="AV10" s="63">
        <f t="shared" si="47"/>
        <v>0.33333333333333331</v>
      </c>
      <c r="AW10" s="210">
        <f t="shared" si="48"/>
        <v>9</v>
      </c>
      <c r="AX10" s="209">
        <f t="shared" si="49"/>
        <v>2.25</v>
      </c>
      <c r="AY10" s="210">
        <f t="shared" si="50"/>
        <v>1</v>
      </c>
      <c r="AZ10" s="209">
        <f t="shared" si="51"/>
        <v>0.25</v>
      </c>
      <c r="BA10" s="63">
        <f t="shared" si="52"/>
        <v>0.1111111111111111</v>
      </c>
      <c r="BB10" s="358">
        <f t="shared" si="53"/>
        <v>7.2222222222222229E-2</v>
      </c>
      <c r="BC10" s="357">
        <f t="shared" si="54"/>
        <v>0.65</v>
      </c>
      <c r="BD10" s="357">
        <f t="shared" si="55"/>
        <v>0.35</v>
      </c>
      <c r="BE10" s="357">
        <f t="shared" si="56"/>
        <v>0.35</v>
      </c>
      <c r="BF10" s="56">
        <f t="shared" si="57"/>
        <v>23</v>
      </c>
      <c r="BG10" s="57">
        <f t="shared" si="58"/>
        <v>5.75</v>
      </c>
      <c r="BH10" s="56">
        <f t="shared" si="59"/>
        <v>2</v>
      </c>
      <c r="BI10" s="57">
        <f t="shared" si="60"/>
        <v>0.5</v>
      </c>
      <c r="BJ10" s="57">
        <f t="shared" si="61"/>
        <v>5.75</v>
      </c>
      <c r="BK10" s="222">
        <f t="shared" si="62"/>
        <v>2</v>
      </c>
      <c r="BL10" s="220">
        <f t="shared" si="63"/>
        <v>0.5</v>
      </c>
      <c r="BM10" s="56">
        <f t="shared" si="64"/>
        <v>3</v>
      </c>
      <c r="BN10" s="57">
        <f t="shared" si="65"/>
        <v>0.75</v>
      </c>
      <c r="BO10" s="58">
        <f t="shared" si="66"/>
        <v>0</v>
      </c>
      <c r="BP10" s="57">
        <f t="shared" si="67"/>
        <v>0</v>
      </c>
      <c r="BQ10" s="75">
        <f t="shared" si="68"/>
        <v>1</v>
      </c>
      <c r="BR10" s="57">
        <f t="shared" si="69"/>
        <v>0.25</v>
      </c>
      <c r="BS10" s="114">
        <f t="shared" si="70"/>
        <v>0</v>
      </c>
      <c r="BT10" s="56">
        <f t="shared" si="71"/>
        <v>0</v>
      </c>
      <c r="BU10" s="57">
        <f t="shared" si="72"/>
        <v>0</v>
      </c>
      <c r="BV10" s="61">
        <f t="shared" si="73"/>
        <v>9</v>
      </c>
      <c r="BW10" s="62">
        <f t="shared" si="74"/>
        <v>2.25</v>
      </c>
      <c r="BX10" s="61">
        <f t="shared" si="75"/>
        <v>2</v>
      </c>
      <c r="BY10" s="62">
        <f t="shared" si="76"/>
        <v>0.5</v>
      </c>
      <c r="BZ10" s="63">
        <f t="shared" si="77"/>
        <v>0.22222222222222221</v>
      </c>
      <c r="CA10" s="61">
        <f t="shared" si="78"/>
        <v>166</v>
      </c>
      <c r="CB10" s="62">
        <f t="shared" si="79"/>
        <v>41.5</v>
      </c>
      <c r="CC10" s="61">
        <f t="shared" si="80"/>
        <v>144</v>
      </c>
      <c r="CD10" s="62">
        <f t="shared" si="81"/>
        <v>36</v>
      </c>
      <c r="CE10" s="63">
        <f t="shared" si="82"/>
        <v>0.86746987951807231</v>
      </c>
      <c r="CF10" s="56">
        <f t="shared" si="83"/>
        <v>159</v>
      </c>
      <c r="CG10" s="62">
        <f t="shared" si="84"/>
        <v>36</v>
      </c>
      <c r="CH10" s="61">
        <f t="shared" si="85"/>
        <v>7</v>
      </c>
      <c r="CI10" s="62">
        <f t="shared" si="86"/>
        <v>1.75</v>
      </c>
      <c r="CJ10" s="305">
        <f t="shared" si="87"/>
        <v>4.40251572327044E-2</v>
      </c>
      <c r="CK10" s="360">
        <f t="shared" si="88"/>
        <v>22</v>
      </c>
      <c r="CL10" s="361">
        <f t="shared" si="89"/>
        <v>5.5</v>
      </c>
      <c r="CM10" s="305">
        <f t="shared" si="90"/>
        <v>0.13253012048192772</v>
      </c>
      <c r="CN10" s="210">
        <f t="shared" si="91"/>
        <v>2</v>
      </c>
      <c r="CO10" s="209">
        <f t="shared" si="92"/>
        <v>0.5</v>
      </c>
      <c r="CP10" s="209">
        <f t="shared" si="93"/>
        <v>0.20499999999999999</v>
      </c>
      <c r="CQ10" s="210">
        <f t="shared" si="94"/>
        <v>3</v>
      </c>
      <c r="CR10" s="62">
        <f t="shared" si="95"/>
        <v>0.75</v>
      </c>
      <c r="CS10" s="61">
        <f t="shared" si="96"/>
        <v>37</v>
      </c>
      <c r="CT10" s="62">
        <f t="shared" si="97"/>
        <v>9.25</v>
      </c>
      <c r="CU10" s="61">
        <f t="shared" si="98"/>
        <v>26</v>
      </c>
      <c r="CV10" s="62">
        <f t="shared" si="99"/>
        <v>6.5</v>
      </c>
      <c r="CW10" s="372">
        <f t="shared" si="100"/>
        <v>11</v>
      </c>
      <c r="CX10" s="373">
        <f t="shared" si="101"/>
        <v>2.75</v>
      </c>
      <c r="CY10" s="63">
        <f t="shared" si="102"/>
        <v>0.70270270270270274</v>
      </c>
      <c r="CZ10" s="61">
        <f t="shared" si="103"/>
        <v>25</v>
      </c>
      <c r="DA10" s="62">
        <f t="shared" si="104"/>
        <v>6.25</v>
      </c>
      <c r="DB10" s="61">
        <f t="shared" si="105"/>
        <v>2</v>
      </c>
      <c r="DC10" s="62">
        <f t="shared" si="106"/>
        <v>0.5</v>
      </c>
      <c r="DD10" s="320">
        <f t="shared" si="107"/>
        <v>31</v>
      </c>
      <c r="DE10" s="321">
        <f t="shared" si="108"/>
        <v>7.75</v>
      </c>
      <c r="DF10" s="320">
        <f t="shared" si="109"/>
        <v>25</v>
      </c>
      <c r="DG10" s="321">
        <f t="shared" si="110"/>
        <v>6.25</v>
      </c>
      <c r="DH10" s="63">
        <f t="shared" si="111"/>
        <v>0.80645161290322576</v>
      </c>
      <c r="DI10" s="372">
        <f t="shared" si="112"/>
        <v>5</v>
      </c>
      <c r="DJ10" s="373">
        <f t="shared" si="113"/>
        <v>1.25</v>
      </c>
      <c r="DK10" s="320">
        <f t="shared" si="114"/>
        <v>2</v>
      </c>
      <c r="DL10" s="62">
        <f t="shared" si="115"/>
        <v>0.5</v>
      </c>
      <c r="DM10" s="63">
        <f t="shared" si="116"/>
        <v>0.16129032258064516</v>
      </c>
      <c r="DN10" s="61">
        <f t="shared" si="117"/>
        <v>2</v>
      </c>
      <c r="DO10" s="61">
        <f t="shared" si="118"/>
        <v>0</v>
      </c>
      <c r="DP10" s="61">
        <f t="shared" si="119"/>
        <v>2</v>
      </c>
      <c r="DQ10" s="62">
        <f t="shared" si="120"/>
        <v>0.5</v>
      </c>
      <c r="DR10" s="63">
        <f t="shared" si="121"/>
        <v>1</v>
      </c>
      <c r="DS10" s="61">
        <f t="shared" si="122"/>
        <v>60.86</v>
      </c>
      <c r="DT10" s="62">
        <f t="shared" si="123"/>
        <v>15.215</v>
      </c>
      <c r="DU10" s="61">
        <f t="shared" si="124"/>
        <v>52.2</v>
      </c>
      <c r="DV10" s="62">
        <f t="shared" si="125"/>
        <v>13.05</v>
      </c>
      <c r="DW10" s="61">
        <f t="shared" si="138"/>
        <v>26.5</v>
      </c>
      <c r="DX10" s="62">
        <f t="shared" si="126"/>
        <v>6.625</v>
      </c>
      <c r="DY10" s="63">
        <f t="shared" si="127"/>
        <v>0.85770621097601052</v>
      </c>
      <c r="DZ10" s="62">
        <f t="shared" si="128"/>
        <v>35.9</v>
      </c>
      <c r="EA10" s="62">
        <f t="shared" si="129"/>
        <v>8.9749999999999996</v>
      </c>
      <c r="EB10" s="62">
        <f t="shared" si="130"/>
        <v>4.2</v>
      </c>
      <c r="EC10" s="61">
        <f t="shared" si="131"/>
        <v>0</v>
      </c>
      <c r="ED10" s="62">
        <f t="shared" si="132"/>
        <v>0</v>
      </c>
      <c r="EE10" s="61">
        <f t="shared" si="133"/>
        <v>28</v>
      </c>
      <c r="EF10" s="62">
        <f t="shared" si="134"/>
        <v>7</v>
      </c>
      <c r="EG10" s="61">
        <f t="shared" si="135"/>
        <v>74</v>
      </c>
      <c r="EH10" s="62">
        <f t="shared" si="136"/>
        <v>18.5</v>
      </c>
      <c r="EI10" s="62">
        <f t="shared" si="137"/>
        <v>7</v>
      </c>
      <c r="EJ10" s="298" t="s">
        <v>19</v>
      </c>
      <c r="EK10" s="294" t="s">
        <v>945</v>
      </c>
      <c r="EL10" s="294" t="s">
        <v>657</v>
      </c>
      <c r="EM10" s="294">
        <v>39</v>
      </c>
      <c r="EN10" s="392">
        <v>0</v>
      </c>
      <c r="EO10" s="294" t="s">
        <v>855</v>
      </c>
      <c r="EP10" s="294" t="s">
        <v>13</v>
      </c>
      <c r="EQ10" s="294" t="s">
        <v>601</v>
      </c>
      <c r="ER10" s="295">
        <v>46173</v>
      </c>
      <c r="ES10" s="294" t="s">
        <v>916</v>
      </c>
      <c r="ET10" s="294">
        <v>360</v>
      </c>
      <c r="EU10" s="294">
        <v>4</v>
      </c>
      <c r="EV10" s="294">
        <v>1</v>
      </c>
      <c r="EW10" s="294">
        <v>0</v>
      </c>
      <c r="EX10" s="294">
        <v>1</v>
      </c>
      <c r="EY10" s="294">
        <v>1</v>
      </c>
      <c r="EZ10" s="294">
        <v>2</v>
      </c>
      <c r="FA10" s="294">
        <v>0</v>
      </c>
      <c r="FB10" s="294">
        <v>9</v>
      </c>
      <c r="FC10" s="294">
        <v>2</v>
      </c>
      <c r="FD10" s="294">
        <v>24</v>
      </c>
      <c r="FE10" s="294">
        <v>27</v>
      </c>
      <c r="FF10" s="294">
        <v>0.8</v>
      </c>
      <c r="FG10" s="294">
        <v>1</v>
      </c>
      <c r="FH10" s="294">
        <v>0</v>
      </c>
      <c r="FI10" s="294">
        <v>1</v>
      </c>
      <c r="FJ10" s="294">
        <v>2</v>
      </c>
      <c r="FK10" s="294">
        <v>18.5</v>
      </c>
      <c r="FL10" s="294">
        <v>0</v>
      </c>
      <c r="FM10" s="294">
        <v>20</v>
      </c>
      <c r="FN10" s="294">
        <v>2</v>
      </c>
      <c r="FO10" s="294">
        <v>2</v>
      </c>
      <c r="FP10" s="294" t="s">
        <v>946</v>
      </c>
      <c r="FQ10" s="294">
        <v>4.2</v>
      </c>
      <c r="FR10" s="294">
        <v>0</v>
      </c>
      <c r="FS10" s="294">
        <v>7</v>
      </c>
      <c r="FT10" s="294">
        <v>166</v>
      </c>
      <c r="FU10" s="294">
        <v>144</v>
      </c>
      <c r="FV10" s="294">
        <v>1</v>
      </c>
      <c r="FW10" s="294">
        <v>9</v>
      </c>
      <c r="FX10" s="294">
        <v>1</v>
      </c>
      <c r="FY10" s="294">
        <v>0</v>
      </c>
      <c r="FZ10" s="294">
        <v>0</v>
      </c>
      <c r="GA10" s="294" t="s">
        <v>947</v>
      </c>
      <c r="GB10" s="294" t="s">
        <v>854</v>
      </c>
      <c r="GC10" s="294">
        <v>2</v>
      </c>
      <c r="GD10" s="294">
        <v>0</v>
      </c>
      <c r="GE10" s="299">
        <v>7</v>
      </c>
    </row>
    <row r="11" spans="1:194" ht="24.95" customHeight="1" thickBot="1" x14ac:dyDescent="0.3">
      <c r="A11" s="29" t="str">
        <f t="shared" si="0"/>
        <v>10º</v>
      </c>
      <c r="B11" s="101" t="str">
        <f t="shared" si="1"/>
        <v>Kaio Ellyson</v>
      </c>
      <c r="C11" s="86" t="str">
        <f t="shared" si="2"/>
        <v>BRA</v>
      </c>
      <c r="D11" s="99" t="str">
        <f t="shared" si="3"/>
        <v>Pé Direito</v>
      </c>
      <c r="E11" s="67" t="str">
        <f t="shared" si="4"/>
        <v>Taquaritinga</v>
      </c>
      <c r="F11" s="166">
        <f t="shared" si="5"/>
        <v>1.92</v>
      </c>
      <c r="G11" s="169">
        <f t="shared" si="6"/>
        <v>25</v>
      </c>
      <c r="H11" s="68">
        <f t="shared" si="7"/>
        <v>0</v>
      </c>
      <c r="I11" s="198">
        <f t="shared" si="8"/>
        <v>46153</v>
      </c>
      <c r="J11" s="301" t="str">
        <f t="shared" si="9"/>
        <v>€1,2m p/m</v>
      </c>
      <c r="K11" s="96">
        <f t="shared" si="10"/>
        <v>4.5855555555555556</v>
      </c>
      <c r="L11" s="145">
        <f t="shared" si="11"/>
        <v>3.9333333333333331</v>
      </c>
      <c r="M11" s="145">
        <f t="shared" si="12"/>
        <v>4</v>
      </c>
      <c r="N11" s="145">
        <f t="shared" si="13"/>
        <v>88.5</v>
      </c>
      <c r="O11" s="190">
        <f t="shared" si="14"/>
        <v>1</v>
      </c>
      <c r="P11" s="55">
        <f t="shared" si="15"/>
        <v>1</v>
      </c>
      <c r="Q11" s="55">
        <f t="shared" si="16"/>
        <v>0</v>
      </c>
      <c r="R11" s="55">
        <f t="shared" si="17"/>
        <v>1</v>
      </c>
      <c r="S11" s="57">
        <f t="shared" si="18"/>
        <v>0.25423728813559321</v>
      </c>
      <c r="T11" s="57">
        <f t="shared" si="19"/>
        <v>0.25423728813559321</v>
      </c>
      <c r="U11" s="57">
        <f t="shared" si="20"/>
        <v>0.38</v>
      </c>
      <c r="V11" s="57">
        <f t="shared" si="21"/>
        <v>9.6610169491525427E-2</v>
      </c>
      <c r="W11" s="57">
        <f t="shared" si="22"/>
        <v>0.38</v>
      </c>
      <c r="X11" s="57">
        <f t="shared" si="23"/>
        <v>9.6610169491525427E-2</v>
      </c>
      <c r="Y11" s="57">
        <f t="shared" si="24"/>
        <v>0</v>
      </c>
      <c r="Z11" s="57">
        <f t="shared" si="25"/>
        <v>0</v>
      </c>
      <c r="AA11" s="57">
        <f t="shared" si="26"/>
        <v>0.38</v>
      </c>
      <c r="AB11" s="57">
        <f t="shared" si="27"/>
        <v>9.6610169491525427E-2</v>
      </c>
      <c r="AC11" s="56">
        <f t="shared" si="28"/>
        <v>0</v>
      </c>
      <c r="AD11" s="57">
        <f t="shared" si="29"/>
        <v>5400</v>
      </c>
      <c r="AE11" s="63">
        <f t="shared" si="30"/>
        <v>0</v>
      </c>
      <c r="AF11" s="306">
        <f t="shared" si="31"/>
        <v>0</v>
      </c>
      <c r="AG11" s="306">
        <f t="shared" si="32"/>
        <v>0</v>
      </c>
      <c r="AH11" s="56">
        <f t="shared" si="33"/>
        <v>0</v>
      </c>
      <c r="AI11" s="60">
        <f t="shared" si="34"/>
        <v>9.9999999999999995E-8</v>
      </c>
      <c r="AJ11" s="302">
        <f t="shared" si="35"/>
        <v>0</v>
      </c>
      <c r="AK11" s="303">
        <f t="shared" si="36"/>
        <v>0</v>
      </c>
      <c r="AL11" s="56">
        <f t="shared" si="37"/>
        <v>30</v>
      </c>
      <c r="AM11" s="57">
        <f t="shared" si="38"/>
        <v>7.6271186440677967</v>
      </c>
      <c r="AN11" s="56">
        <f t="shared" si="39"/>
        <v>23</v>
      </c>
      <c r="AO11" s="57">
        <f t="shared" si="40"/>
        <v>5.8474576271186445</v>
      </c>
      <c r="AP11" s="60">
        <f t="shared" si="41"/>
        <v>0.76666666666666672</v>
      </c>
      <c r="AQ11" s="56">
        <f t="shared" si="42"/>
        <v>7</v>
      </c>
      <c r="AR11" s="57">
        <f t="shared" si="43"/>
        <v>1.7796610169491527</v>
      </c>
      <c r="AS11" s="60">
        <f t="shared" si="44"/>
        <v>0.23333333333333334</v>
      </c>
      <c r="AT11" s="210">
        <f t="shared" si="45"/>
        <v>3.1466666666666665</v>
      </c>
      <c r="AU11" s="209">
        <f t="shared" si="46"/>
        <v>0.8</v>
      </c>
      <c r="AV11" s="63">
        <f t="shared" si="47"/>
        <v>0.1</v>
      </c>
      <c r="AW11" s="210">
        <f t="shared" si="48"/>
        <v>3</v>
      </c>
      <c r="AX11" s="209">
        <f t="shared" si="49"/>
        <v>0.76271186440677974</v>
      </c>
      <c r="AY11" s="210">
        <f t="shared" si="50"/>
        <v>1</v>
      </c>
      <c r="AZ11" s="209">
        <f t="shared" si="51"/>
        <v>0.25423728813559321</v>
      </c>
      <c r="BA11" s="63">
        <f t="shared" si="52"/>
        <v>0.33333333333333331</v>
      </c>
      <c r="BB11" s="358">
        <f t="shared" si="53"/>
        <v>0.12666666666666668</v>
      </c>
      <c r="BC11" s="357">
        <f t="shared" si="54"/>
        <v>0.38</v>
      </c>
      <c r="BD11" s="357">
        <f t="shared" si="55"/>
        <v>0.62</v>
      </c>
      <c r="BE11" s="357">
        <f t="shared" si="56"/>
        <v>0.62</v>
      </c>
      <c r="BF11" s="56">
        <f t="shared" si="57"/>
        <v>20</v>
      </c>
      <c r="BG11" s="57">
        <f t="shared" si="58"/>
        <v>5.0847457627118651</v>
      </c>
      <c r="BH11" s="56">
        <f t="shared" si="59"/>
        <v>3</v>
      </c>
      <c r="BI11" s="57">
        <f t="shared" si="60"/>
        <v>0.76271186440677974</v>
      </c>
      <c r="BJ11" s="57">
        <f t="shared" si="61"/>
        <v>5.3389830508474576</v>
      </c>
      <c r="BK11" s="222">
        <f t="shared" si="62"/>
        <v>6</v>
      </c>
      <c r="BL11" s="220">
        <f t="shared" si="63"/>
        <v>1.5254237288135595</v>
      </c>
      <c r="BM11" s="56">
        <f t="shared" si="64"/>
        <v>4</v>
      </c>
      <c r="BN11" s="57">
        <f t="shared" si="65"/>
        <v>1.0169491525423728</v>
      </c>
      <c r="BO11" s="58">
        <f t="shared" si="66"/>
        <v>2</v>
      </c>
      <c r="BP11" s="57">
        <f t="shared" si="67"/>
        <v>0.50847457627118642</v>
      </c>
      <c r="BQ11" s="75">
        <f t="shared" si="68"/>
        <v>0</v>
      </c>
      <c r="BR11" s="57">
        <f t="shared" si="69"/>
        <v>0</v>
      </c>
      <c r="BS11" s="114">
        <f t="shared" si="70"/>
        <v>0.5</v>
      </c>
      <c r="BT11" s="56">
        <f t="shared" si="71"/>
        <v>1</v>
      </c>
      <c r="BU11" s="57">
        <f t="shared" si="72"/>
        <v>0.25423728813559321</v>
      </c>
      <c r="BV11" s="61">
        <f t="shared" si="73"/>
        <v>5</v>
      </c>
      <c r="BW11" s="62">
        <f t="shared" si="74"/>
        <v>1.2711864406779663</v>
      </c>
      <c r="BX11" s="61">
        <f t="shared" si="75"/>
        <v>3</v>
      </c>
      <c r="BY11" s="62">
        <f t="shared" si="76"/>
        <v>0.76271186440677974</v>
      </c>
      <c r="BZ11" s="63">
        <f t="shared" si="77"/>
        <v>0.6</v>
      </c>
      <c r="CA11" s="61">
        <f t="shared" si="78"/>
        <v>186</v>
      </c>
      <c r="CB11" s="62">
        <f t="shared" si="79"/>
        <v>47.288135593220339</v>
      </c>
      <c r="CC11" s="61">
        <f t="shared" si="80"/>
        <v>155</v>
      </c>
      <c r="CD11" s="62">
        <f t="shared" si="81"/>
        <v>39.406779661016948</v>
      </c>
      <c r="CE11" s="63">
        <f t="shared" si="82"/>
        <v>0.83333333333333337</v>
      </c>
      <c r="CF11" s="56">
        <f t="shared" si="83"/>
        <v>181</v>
      </c>
      <c r="CG11" s="62">
        <f t="shared" si="84"/>
        <v>39.406779661016948</v>
      </c>
      <c r="CH11" s="61">
        <f t="shared" si="85"/>
        <v>5</v>
      </c>
      <c r="CI11" s="62">
        <f t="shared" si="86"/>
        <v>1.2711864406779663</v>
      </c>
      <c r="CJ11" s="305">
        <f t="shared" si="87"/>
        <v>2.7624309392265192E-2</v>
      </c>
      <c r="CK11" s="360">
        <f t="shared" si="88"/>
        <v>31</v>
      </c>
      <c r="CL11" s="361">
        <f t="shared" si="89"/>
        <v>7.8813559322033901</v>
      </c>
      <c r="CM11" s="305">
        <f t="shared" si="90"/>
        <v>0.16666666666666666</v>
      </c>
      <c r="CN11" s="210">
        <f t="shared" si="91"/>
        <v>1</v>
      </c>
      <c r="CO11" s="209">
        <f t="shared" si="92"/>
        <v>0.25423728813559321</v>
      </c>
      <c r="CP11" s="209">
        <f t="shared" si="93"/>
        <v>0</v>
      </c>
      <c r="CQ11" s="210">
        <f t="shared" si="94"/>
        <v>1</v>
      </c>
      <c r="CR11" s="62">
        <f t="shared" si="95"/>
        <v>0.25423728813559321</v>
      </c>
      <c r="CS11" s="61">
        <f t="shared" si="96"/>
        <v>37</v>
      </c>
      <c r="CT11" s="62">
        <f t="shared" si="97"/>
        <v>9.4067796610169498</v>
      </c>
      <c r="CU11" s="61">
        <f t="shared" si="98"/>
        <v>28</v>
      </c>
      <c r="CV11" s="62">
        <f t="shared" si="99"/>
        <v>7.1186440677966107</v>
      </c>
      <c r="CW11" s="372">
        <f t="shared" si="100"/>
        <v>9</v>
      </c>
      <c r="CX11" s="373">
        <f t="shared" si="101"/>
        <v>2.2881355932203391</v>
      </c>
      <c r="CY11" s="63">
        <f t="shared" si="102"/>
        <v>0.7567567567567568</v>
      </c>
      <c r="CZ11" s="61">
        <f t="shared" si="103"/>
        <v>26.5</v>
      </c>
      <c r="DA11" s="62">
        <f t="shared" si="104"/>
        <v>6.7372881355932206</v>
      </c>
      <c r="DB11" s="61">
        <f t="shared" si="105"/>
        <v>5.5</v>
      </c>
      <c r="DC11" s="62">
        <f t="shared" si="106"/>
        <v>1.3983050847457628</v>
      </c>
      <c r="DD11" s="320">
        <f t="shared" si="107"/>
        <v>37</v>
      </c>
      <c r="DE11" s="321">
        <f t="shared" si="108"/>
        <v>9.4067796610169498</v>
      </c>
      <c r="DF11" s="320">
        <f t="shared" si="109"/>
        <v>29</v>
      </c>
      <c r="DG11" s="321">
        <f t="shared" si="110"/>
        <v>7.3728813559322042</v>
      </c>
      <c r="DH11" s="63">
        <f t="shared" si="111"/>
        <v>0.78378378378378377</v>
      </c>
      <c r="DI11" s="372">
        <f t="shared" si="112"/>
        <v>10</v>
      </c>
      <c r="DJ11" s="373">
        <f t="shared" si="113"/>
        <v>2.5423728813559325</v>
      </c>
      <c r="DK11" s="320">
        <f t="shared" si="114"/>
        <v>2</v>
      </c>
      <c r="DL11" s="62">
        <f t="shared" si="115"/>
        <v>0.50847457627118642</v>
      </c>
      <c r="DM11" s="63">
        <f t="shared" si="116"/>
        <v>0.27027027027027029</v>
      </c>
      <c r="DN11" s="61">
        <f t="shared" si="117"/>
        <v>2</v>
      </c>
      <c r="DO11" s="61">
        <f t="shared" si="118"/>
        <v>0</v>
      </c>
      <c r="DP11" s="61">
        <f t="shared" si="119"/>
        <v>2</v>
      </c>
      <c r="DQ11" s="62">
        <f t="shared" si="120"/>
        <v>0.50847457627118642</v>
      </c>
      <c r="DR11" s="63">
        <f t="shared" si="121"/>
        <v>1</v>
      </c>
      <c r="DS11" s="61">
        <f t="shared" si="122"/>
        <v>65.806666666666658</v>
      </c>
      <c r="DT11" s="62">
        <f t="shared" si="123"/>
        <v>16.730508474576268</v>
      </c>
      <c r="DU11" s="61">
        <f t="shared" si="124"/>
        <v>55.646666666666668</v>
      </c>
      <c r="DV11" s="62">
        <f t="shared" si="125"/>
        <v>14.147457627118646</v>
      </c>
      <c r="DW11" s="61">
        <f t="shared" si="138"/>
        <v>35.5</v>
      </c>
      <c r="DX11" s="62">
        <f t="shared" si="126"/>
        <v>9.0254237288135606</v>
      </c>
      <c r="DY11" s="63">
        <f t="shared" si="127"/>
        <v>0.84560834768513837</v>
      </c>
      <c r="DZ11" s="62">
        <f t="shared" si="128"/>
        <v>31.5</v>
      </c>
      <c r="EA11" s="62">
        <f t="shared" si="129"/>
        <v>8.0084745762711869</v>
      </c>
      <c r="EB11" s="62">
        <f t="shared" si="130"/>
        <v>3.8</v>
      </c>
      <c r="EC11" s="61">
        <f t="shared" si="131"/>
        <v>0</v>
      </c>
      <c r="ED11" s="62">
        <f t="shared" si="132"/>
        <v>0</v>
      </c>
      <c r="EE11" s="61">
        <f t="shared" si="133"/>
        <v>40</v>
      </c>
      <c r="EF11" s="62">
        <f t="shared" si="134"/>
        <v>10.16949152542373</v>
      </c>
      <c r="EG11" s="61">
        <f t="shared" si="135"/>
        <v>62.93333333333333</v>
      </c>
      <c r="EH11" s="62">
        <f t="shared" si="136"/>
        <v>16</v>
      </c>
      <c r="EI11" s="62">
        <f t="shared" si="137"/>
        <v>7.08</v>
      </c>
      <c r="EJ11" s="298" t="s">
        <v>19</v>
      </c>
      <c r="EK11" s="294" t="s">
        <v>954</v>
      </c>
      <c r="EL11" s="294" t="s">
        <v>539</v>
      </c>
      <c r="EM11" s="294">
        <v>25</v>
      </c>
      <c r="EN11" s="392">
        <v>0</v>
      </c>
      <c r="EO11" s="294" t="s">
        <v>855</v>
      </c>
      <c r="EP11" s="294" t="s">
        <v>13</v>
      </c>
      <c r="EQ11" s="294" t="s">
        <v>601</v>
      </c>
      <c r="ER11" s="295">
        <v>46153</v>
      </c>
      <c r="ES11" s="294" t="s">
        <v>950</v>
      </c>
      <c r="ET11" s="294">
        <v>354</v>
      </c>
      <c r="EU11" s="294">
        <v>4</v>
      </c>
      <c r="EV11" s="294">
        <v>0</v>
      </c>
      <c r="EW11" s="294">
        <v>0</v>
      </c>
      <c r="EX11" s="294">
        <v>1</v>
      </c>
      <c r="EY11" s="294">
        <v>0</v>
      </c>
      <c r="EZ11" s="294">
        <v>2</v>
      </c>
      <c r="FA11" s="294">
        <v>0</v>
      </c>
      <c r="FB11" s="294">
        <v>5</v>
      </c>
      <c r="FC11" s="294">
        <v>3</v>
      </c>
      <c r="FD11" s="294">
        <v>23</v>
      </c>
      <c r="FE11" s="294">
        <v>30</v>
      </c>
      <c r="FF11" s="294">
        <v>0.8</v>
      </c>
      <c r="FG11" s="294">
        <v>2</v>
      </c>
      <c r="FH11" s="294">
        <v>2</v>
      </c>
      <c r="FI11" s="294">
        <v>3</v>
      </c>
      <c r="FJ11" s="294">
        <v>3</v>
      </c>
      <c r="FK11" s="294">
        <v>16</v>
      </c>
      <c r="FL11" s="294">
        <v>1</v>
      </c>
      <c r="FM11" s="294">
        <v>14</v>
      </c>
      <c r="FN11" s="294">
        <v>2</v>
      </c>
      <c r="FO11" s="294">
        <v>6</v>
      </c>
      <c r="FP11" s="294" t="s">
        <v>955</v>
      </c>
      <c r="FQ11" s="294">
        <v>3.8</v>
      </c>
      <c r="FR11" s="294">
        <v>0</v>
      </c>
      <c r="FS11" s="294">
        <v>5</v>
      </c>
      <c r="FT11" s="294">
        <v>186</v>
      </c>
      <c r="FU11" s="294">
        <v>155</v>
      </c>
      <c r="FV11" s="294">
        <v>0</v>
      </c>
      <c r="FW11" s="294">
        <v>3</v>
      </c>
      <c r="FX11" s="294">
        <v>1</v>
      </c>
      <c r="FY11" s="294">
        <v>0</v>
      </c>
      <c r="FZ11" s="294">
        <v>0</v>
      </c>
      <c r="GA11" s="294" t="s">
        <v>919</v>
      </c>
      <c r="GB11" s="294">
        <v>0</v>
      </c>
      <c r="GC11" s="294">
        <v>1</v>
      </c>
      <c r="GD11" s="294">
        <v>0</v>
      </c>
      <c r="GE11" s="299">
        <v>7.08</v>
      </c>
    </row>
  </sheetData>
  <autoFilter ref="B1:GE1" xr:uid="{00000000-0009-0000-0000-000001000000}">
    <sortState xmlns:xlrd2="http://schemas.microsoft.com/office/spreadsheetml/2017/richdata2" ref="B2:GE11">
      <sortCondition descending="1" ref="DY1"/>
    </sortState>
  </autoFilter>
  <phoneticPr fontId="53" type="noConversion"/>
  <conditionalFormatting sqref="AL1:AM1048576"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1">
      <colorScale>
        <cfvo type="min"/>
        <cfvo type="max"/>
        <color rgb="FFFFEF9C"/>
        <color rgb="FF63BE7B"/>
      </colorScale>
    </cfRule>
  </conditionalFormatting>
  <conditionalFormatting sqref="I2:I1048576">
    <cfRule type="containsText" dxfId="7" priority="192" operator="containsText" text="Sem Data Final">
      <formula>NOT(ISERROR(SEARCH("Sem Data Final",I2)))</formula>
    </cfRule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:BP1048576">
    <cfRule type="colorScale" priority="7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N1048576">
    <cfRule type="colorScale" priority="7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U1048576">
    <cfRule type="colorScale" priority="7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lorScale" priority="423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S1:BS1048576">
    <cfRule type="iconSet" priority="28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iconSet" priority="28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iconSet" priority="28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colorScale" priority="399">
      <colorScale>
        <cfvo type="min"/>
        <cfvo type="max"/>
        <color rgb="FFFCFCFF"/>
        <color rgb="FFF8696B"/>
      </colorScale>
    </cfRule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Q104857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6">
      <colorScale>
        <cfvo type="min"/>
        <cfvo type="max"/>
        <color rgb="FFFCFCFF"/>
        <color rgb="FFF8696B"/>
      </colorScale>
    </cfRule>
  </conditionalFormatting>
  <conditionalFormatting sqref="AP1:AQ1048576">
    <cfRule type="colorScale" priority="7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iconSet" priority="14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02">
      <colorScale>
        <cfvo type="min"/>
        <cfvo type="max"/>
        <color rgb="FFFCFCFF"/>
        <color rgb="FFF8696B"/>
      </colorScale>
    </cfRule>
  </conditionalFormatting>
  <conditionalFormatting sqref="EI1:EI1048576">
    <cfRule type="colorScale" priority="309">
      <colorScale>
        <cfvo type="num" val="6.6"/>
        <cfvo type="num" val="6.65"/>
        <cfvo type="num" val="7"/>
        <color rgb="FFF8696B"/>
        <color rgb="FFFFEB84"/>
        <color rgb="FF63BE7B"/>
      </colorScale>
    </cfRule>
    <cfRule type="iconSet" priority="310">
      <iconSet iconSet="3Arrows">
        <cfvo type="percent" val="0"/>
        <cfvo type="num" val="6.7"/>
        <cfvo type="num" val="7"/>
      </iconSet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6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">
    <cfRule type="colorScale" priority="687">
      <colorScale>
        <cfvo type="min"/>
        <cfvo type="max"/>
        <color rgb="FFFCFCFF"/>
        <color rgb="FFF8696B"/>
      </colorScale>
    </cfRule>
  </conditionalFormatting>
  <conditionalFormatting sqref="AH1:AH1048576">
    <cfRule type="colorScale" priority="409">
      <colorScale>
        <cfvo type="min"/>
        <cfvo type="max"/>
        <color rgb="FFFCFCFF"/>
        <color rgb="FFF8696B"/>
      </colorScale>
    </cfRule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:BQ1048576">
    <cfRule type="iconSet" priority="28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85">
      <colorScale>
        <cfvo type="min"/>
        <cfvo type="max"/>
        <color rgb="FFFCFCFF"/>
        <color rgb="FFF8696B"/>
      </colorScale>
    </cfRule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1:BR1048576">
    <cfRule type="iconSet" priority="284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84">
      <colorScale>
        <cfvo type="min"/>
        <cfvo type="max"/>
        <color rgb="FFFCFCFF"/>
        <color rgb="FFF8696B"/>
      </colorScale>
    </cfRule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R1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2">
      <colorScale>
        <cfvo type="min"/>
        <cfvo type="max"/>
        <color rgb="FFFFEF9C"/>
        <color rgb="FF63BE7B"/>
      </colorScale>
    </cfRule>
  </conditionalFormatting>
  <conditionalFormatting sqref="AR1">
    <cfRule type="colorScale" priority="6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">
    <cfRule type="colorScale" priority="6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">
    <cfRule type="colorScale" priority="6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">
    <cfRule type="colorScale" priority="6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colorScale" priority="400">
      <colorScale>
        <cfvo type="min"/>
        <cfvo type="max"/>
        <color rgb="FFFCFCFF"/>
        <color rgb="FFF8696B"/>
      </colorScale>
    </cfRule>
    <cfRule type="colorScale" priority="653">
      <colorScale>
        <cfvo type="min"/>
        <cfvo type="percentile" val="50"/>
        <cfvo type="max"/>
        <color rgb="FFC00000"/>
        <color rgb="FFFF0D0D"/>
        <color rgb="FFFF9B9B"/>
      </colorScale>
    </cfRule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iconSet" priority="2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iconSet" priority="2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iconSet" priority="2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R1048576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:CT1048576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26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2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2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R1:DR104857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15">
      <colorScale>
        <cfvo type="min"/>
        <cfvo type="max"/>
        <color rgb="FFFCFCFF"/>
        <color rgb="FFF8696B"/>
      </colorScale>
    </cfRule>
  </conditionalFormatting>
  <conditionalFormatting sqref="DU1:DU1048576">
    <cfRule type="iconSet" priority="2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iconSet" priority="2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"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"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N1:DN1048576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:DQ1048576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1:DP104857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:CZ1048576">
    <cfRule type="iconSet" priority="28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iconSet" priority="27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">
    <cfRule type="iconSet" priority="27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iconSet" priority="2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 DH1:DH1048576"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iconSet" priority="2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1:DL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27">
      <colorScale>
        <cfvo type="min"/>
        <cfvo type="max"/>
        <color rgb="FFFCFCFF"/>
        <color rgb="FFF8696B"/>
      </colorScale>
    </cfRule>
  </conditionalFormatting>
  <conditionalFormatting sqref="DM1:DM1048576">
    <cfRule type="colorScale" priority="332">
      <colorScale>
        <cfvo type="min"/>
        <cfvo type="max"/>
        <color rgb="FFFCFCFF"/>
        <color rgb="FFF8696B"/>
      </colorScale>
    </cfRule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317">
      <colorScale>
        <cfvo type="num" val="0"/>
        <cfvo type="num" val="1.8"/>
        <cfvo type="num" val="1.84"/>
        <color rgb="FFF8696B"/>
        <color rgb="FFFFEB84"/>
        <color rgb="FF63BE7B"/>
      </colorScale>
    </cfRule>
  </conditionalFormatting>
  <conditionalFormatting sqref="DZ1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Z1:DZ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8">
      <colorScale>
        <cfvo type="min"/>
        <cfvo type="percentile" val="50"/>
        <cfvo type="max"/>
        <color theme="4" tint="0.79998168889431442"/>
        <color theme="4" tint="0.39997558519241921"/>
        <color rgb="FF19C3FF"/>
      </colorScale>
    </cfRule>
  </conditionalFormatting>
  <conditionalFormatting sqref="EA1:EA1048576">
    <cfRule type="iconSet" priority="2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7">
      <colorScale>
        <cfvo type="min"/>
        <cfvo type="percentile" val="50"/>
        <cfvo type="max"/>
        <color theme="4" tint="0.79998168889431442"/>
        <color theme="4" tint="0.39997558519241921"/>
        <color rgb="FF00B0F0"/>
      </colorScale>
    </cfRule>
  </conditionalFormatting>
  <conditionalFormatting sqref="DO1:DO1048576">
    <cfRule type="colorScale" priority="260">
      <colorScale>
        <cfvo type="num" val="0.01"/>
        <cfvo type="percentile" val="50"/>
        <cfvo type="max"/>
        <color rgb="FF63BE7B"/>
        <color rgb="FFFFEB84"/>
        <color rgb="FFF8696B"/>
      </colorScale>
    </cfRule>
  </conditionalFormatting>
  <conditionalFormatting sqref="EB1:EB1048576">
    <cfRule type="iconSet" priority="2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C1:EC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D1:ED1048576">
    <cfRule type="iconSet" priority="2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colorScale" priority="22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30">
      <iconSet iconSet="3ArrowsGray">
        <cfvo type="percent" val="0"/>
        <cfvo type="percent" val="33"/>
        <cfvo type="percent" val="67"/>
      </iconSet>
    </cfRule>
  </conditionalFormatting>
  <conditionalFormatting sqref="AD1:AD1048576">
    <cfRule type="colorScale" priority="226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229">
      <iconSet iconSet="3ArrowsGray" reverse="1">
        <cfvo type="percent" val="0"/>
        <cfvo type="percent" val="33"/>
        <cfvo type="percent" val="67"/>
      </iconSet>
    </cfRule>
  </conditionalFormatting>
  <conditionalFormatting sqref="AE1:AE1048576">
    <cfRule type="colorScale" priority="225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28">
      <iconSet iconSet="3ArrowsGray">
        <cfvo type="percent" val="0"/>
        <cfvo type="percent" val="33"/>
        <cfvo type="percent" val="67"/>
      </iconSet>
    </cfRule>
  </conditionalFormatting>
  <conditionalFormatting sqref="CA1:CA1048576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2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Z1:BZ1048576">
    <cfRule type="iconSet" priority="20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07">
      <colorScale>
        <cfvo type="min"/>
        <cfvo type="max"/>
        <color rgb="FFFFEF9C"/>
        <color rgb="FF63BE7B"/>
      </colorScale>
    </cfRule>
  </conditionalFormatting>
  <conditionalFormatting sqref="P1:P1048576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1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{6A451C48-7E1E-4E6A-816D-B3356C1124D0}</x14:id>
        </ext>
      </extLst>
    </cfRule>
  </conditionalFormatting>
  <conditionalFormatting sqref="M1:M1048576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197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I1">
    <cfRule type="containsText" dxfId="6" priority="190" operator="containsText" text="Sem Data Final">
      <formula>NOT(ISERROR(SEARCH("Sem Data Final",I1)))</formula>
    </cfRule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ntainsText" dxfId="5" priority="189" operator="containsText" text="Desconhecido">
      <formula>NOT(ISERROR(SEARCH("Desconhecido",H1)))</formula>
    </cfRule>
  </conditionalFormatting>
  <conditionalFormatting sqref="BX1:BX1048576">
    <cfRule type="colorScale" priority="1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S1:AS1048576">
    <cfRule type="colorScale" priority="183">
      <colorScale>
        <cfvo type="min"/>
        <cfvo type="max"/>
        <color rgb="FFFCFCFF"/>
        <color rgb="FFF8696B"/>
      </colorScale>
    </cfRule>
  </conditionalFormatting>
  <conditionalFormatting sqref="AT1:AT1048576">
    <cfRule type="iconSet" priority="180">
      <iconSet iconSet="3Arrows">
        <cfvo type="percent" val="0"/>
        <cfvo type="percent" val="33"/>
        <cfvo type="percent" val="67"/>
      </iconSet>
    </cfRule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179">
      <iconSet iconSet="3Arrows">
        <cfvo type="percent" val="0"/>
        <cfvo type="percent" val="33"/>
        <cfvo type="percent" val="67"/>
      </iconSet>
    </cfRule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1:DY1048576">
    <cfRule type="iconSet" priority="177">
      <iconSet iconSet="3Arrows">
        <cfvo type="percent" val="0"/>
        <cfvo type="percent" val="33"/>
        <cfvo type="percent" val="67"/>
      </iconSet>
    </cfRule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V1:DV1048576">
    <cfRule type="iconSet" priority="17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W1048576">
    <cfRule type="iconSet" priority="16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74">
      <colorScale>
        <cfvo type="min"/>
        <cfvo type="max"/>
        <color rgb="FFFCFCFF"/>
        <color rgb="FFF8696B"/>
      </colorScale>
    </cfRule>
  </conditionalFormatting>
  <conditionalFormatting sqref="DX1:DX1048576">
    <cfRule type="iconSet" priority="16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73">
      <colorScale>
        <cfvo type="min"/>
        <cfvo type="max"/>
        <color rgb="FFFCFCFF"/>
        <color rgb="FFF8696B"/>
      </colorScale>
    </cfRule>
  </conditionalFormatting>
  <conditionalFormatting sqref="DS1:DS1048576">
    <cfRule type="iconSet" priority="163">
      <iconSet iconSet="3ArrowsGray">
        <cfvo type="percent" val="0"/>
        <cfvo type="percent" val="33"/>
        <cfvo type="percent" val="67"/>
      </iconSet>
    </cfRule>
    <cfRule type="colorScale" priority="164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T1:DT1048576">
    <cfRule type="iconSet" priority="162">
      <iconSet iconSet="3ArrowsGray">
        <cfvo type="percent" val="0"/>
        <cfvo type="percent" val="33"/>
        <cfvo type="percent" val="67"/>
      </iconSet>
    </cfRule>
    <cfRule type="colorScale" priority="168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Q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1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1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5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O1:CO1048576">
    <cfRule type="iconSet" priority="1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dataBar" priority="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{2AEA3033-7C19-411F-9B7F-5FC683A115C2}</x14:id>
        </ext>
      </extLst>
    </cfRule>
    <cfRule type="colorScale" priority="151">
      <colorScale>
        <cfvo type="min"/>
        <cfvo type="percentile" val="50"/>
        <cfvo type="max"/>
        <color rgb="FFF8696B"/>
        <color rgb="FFFCFCFF"/>
        <color rgb="FF00B0F0"/>
      </colorScale>
    </cfRule>
  </conditionalFormatting>
  <conditionalFormatting sqref="BW1:BW1048576">
    <cfRule type="colorScale" priority="1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Y1:BY1048576">
    <cfRule type="colorScale" priority="1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K1:BK1048576">
    <cfRule type="iconSet" priority="13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141">
      <colorScale>
        <cfvo type="min"/>
        <cfvo type="percentile" val="50"/>
        <cfvo type="max"/>
        <color theme="0" tint="0.79998168889431442"/>
        <color rgb="FF9BC2E6"/>
        <color rgb="FF2F75B5"/>
      </colorScale>
    </cfRule>
  </conditionalFormatting>
  <conditionalFormatting sqref="BL1:BL1048576">
    <cfRule type="iconSet" priority="138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140">
      <colorScale>
        <cfvo type="min"/>
        <cfvo type="percentile" val="50"/>
        <cfvo type="max"/>
        <color theme="0" tint="0.79998168889431442"/>
        <color rgb="FF9BC2E6"/>
        <color rgb="FF2F75B5"/>
      </colorScale>
    </cfRule>
  </conditionalFormatting>
  <conditionalFormatting sqref="EE1:EE1048576">
    <cfRule type="iconSet" priority="12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9">
      <colorScale>
        <cfvo type="min"/>
        <cfvo type="max"/>
        <color rgb="FFFCFCFF"/>
        <color rgb="FFF8696B"/>
      </colorScale>
    </cfRule>
  </conditionalFormatting>
  <conditionalFormatting sqref="EF1:EF1048576">
    <cfRule type="iconSet" priority="12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8">
      <colorScale>
        <cfvo type="min"/>
        <cfvo type="max"/>
        <color rgb="FFFCFCFF"/>
        <color rgb="FFF8696B"/>
      </colorScale>
    </cfRule>
  </conditionalFormatting>
  <conditionalFormatting sqref="EG1:EG1048576">
    <cfRule type="iconSet" priority="123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7">
      <colorScale>
        <cfvo type="min"/>
        <cfvo type="max"/>
        <color rgb="FFFCFCFF"/>
        <color rgb="FFF8696B"/>
      </colorScale>
    </cfRule>
  </conditionalFormatting>
  <conditionalFormatting sqref="EH1:EH1048576">
    <cfRule type="iconSet" priority="12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6">
      <colorScale>
        <cfvo type="min"/>
        <cfvo type="max"/>
        <color rgb="FFFCFCFF"/>
        <color rgb="FFF8696B"/>
      </colorScale>
    </cfRule>
  </conditionalFormatting>
  <conditionalFormatting sqref="AW1:AW1048576">
    <cfRule type="iconSet" priority="9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9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colorScale" priority="112">
      <colorScale>
        <cfvo type="min"/>
        <cfvo type="max"/>
        <color rgb="FFFFEF9C"/>
        <color rgb="FF63BE7B"/>
      </colorScale>
    </cfRule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AZ1048576">
    <cfRule type="iconSet" priority="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48576">
    <cfRule type="colorScale" priority="2373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">
    <cfRule type="colorScale" priority="2373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">
    <cfRule type="colorScale" priority="2373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2373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048576">
    <cfRule type="colorScale" priority="2373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dataBar" priority="88">
      <dataBar>
        <cfvo type="min"/>
        <cfvo type="max"/>
        <color rgb="FF00759E"/>
      </dataBar>
      <extLst>
        <ext xmlns:x14="http://schemas.microsoft.com/office/spreadsheetml/2009/9/main" uri="{B025F937-C7B1-47D3-B67F-A62EFF666E3E}">
          <x14:id>{9EE375F2-184F-4598-85E9-EEDEF77B01F9}</x14:id>
        </ext>
      </extLst>
    </cfRule>
  </conditionalFormatting>
  <conditionalFormatting sqref="AJ1:AJ1048576">
    <cfRule type="dataBar" priority="86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{E60392A9-025E-4DEB-B8DE-053CB841D837}</x14:id>
        </ext>
      </extLst>
    </cfRule>
  </conditionalFormatting>
  <conditionalFormatting sqref="AK1:AK1048576">
    <cfRule type="dataBar" priority="85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{65CAD4F3-9D45-4E39-BF2E-B11AE48893C5}</x14:id>
        </ext>
      </extLst>
    </cfRule>
  </conditionalFormatting>
  <conditionalFormatting sqref="BE1:BE104857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{BBE8573A-A27D-4438-9A8D-897D172F2E24}</x14:id>
        </ext>
      </extLst>
    </cfRule>
    <cfRule type="colorScale" priority="84">
      <colorScale>
        <cfvo type="num" val="-9.9999999999999991E-22"/>
        <cfvo type="num" val="0"/>
        <cfvo type="num" val="1"/>
        <color rgb="FFFBA3A5"/>
        <color theme="4" tint="0.79998168889431442"/>
        <color rgb="FF00B0F0"/>
      </colorScale>
    </cfRule>
  </conditionalFormatting>
  <conditionalFormatting sqref="CG1:CG1048576">
    <cfRule type="colorScale" priority="8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H1:CH1048576">
    <cfRule type="colorScale" priority="8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I1:CI1048576">
    <cfRule type="colorScale" priority="8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J1:CJ1048576">
    <cfRule type="dataBar" priority="79">
      <dataBar>
        <cfvo type="min"/>
        <cfvo type="max"/>
        <color rgb="FF0D97FF"/>
      </dataBar>
      <extLst>
        <ext xmlns:x14="http://schemas.microsoft.com/office/spreadsheetml/2009/9/main" uri="{B025F937-C7B1-47D3-B67F-A62EFF666E3E}">
          <x14:id>{11D64A83-7A8C-48DE-B5F9-50AE3B3CDC01}</x14:id>
        </ext>
      </extLst>
    </cfRule>
  </conditionalFormatting>
  <conditionalFormatting sqref="CM1:CM1048576">
    <cfRule type="dataBar" priority="78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{76B643AD-0B76-4A4D-8183-D87F782085A9}</x14:id>
        </ext>
      </extLst>
    </cfRule>
  </conditionalFormatting>
  <conditionalFormatting sqref="U1:U1048576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{DE0112C0-4E83-4D87-BDA9-14D607E71F1B}</x14:id>
        </ext>
      </extLst>
    </cfRule>
    <cfRule type="colorScale" priority="42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V1:V104857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{9353CEAC-9A12-4647-9FA7-78248C8082A2}</x14:id>
        </ext>
      </extLst>
    </cfRule>
    <cfRule type="colorScale" priority="4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W1:W104857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{16945FE4-5190-49A6-B654-0E66A0CE42C2}</x14:id>
        </ext>
      </extLst>
    </cfRule>
    <cfRule type="colorScale" priority="3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{71E70157-23DE-4968-9F85-226722CAC57B}</x14:id>
        </ext>
      </extLst>
    </cfRule>
    <cfRule type="colorScale" priority="3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{46E4D2DA-BFBF-447A-88E9-BACF3064715C}</x14:id>
        </ext>
      </extLst>
    </cfRule>
    <cfRule type="colorScale" priority="3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{6F876B10-56DE-4138-942F-61309957E6C4}</x14:id>
        </ext>
      </extLst>
    </cfRule>
    <cfRule type="colorScale" priority="3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{DEAB641F-52A8-4F62-A2F3-67FA3C0D6D3A}</x14:id>
        </ext>
      </extLst>
    </cfRule>
    <cfRule type="colorScale" priority="3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B1:AB1048576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{9A4E28FF-0F61-493B-955D-336E6F618791}</x14:id>
        </ext>
      </extLst>
    </cfRule>
    <cfRule type="colorScale" priority="3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C1:BC104857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{FEE01AE2-A858-443F-A379-6101EB8DCC1E}</x14:id>
        </ext>
      </extLst>
    </cfRule>
    <cfRule type="colorScale" priority="2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D1:BD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{E0289788-C46A-4E50-9163-40D3BEA8D4DB}</x14:id>
        </ext>
      </extLst>
    </cfRule>
    <cfRule type="colorScale" priority="2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I1:AI104857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dataBar" priority="19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{B2440787-A19F-4AA3-B979-734448C1C96B}</x14:id>
        </ext>
      </extLst>
    </cfRule>
  </conditionalFormatting>
  <conditionalFormatting sqref="AG1:AG1048576">
    <cfRule type="dataBar" priority="18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{40A97135-17D7-4076-9218-36D4232AE887}</x14:id>
        </ext>
      </extLst>
    </cfRule>
  </conditionalFormatting>
  <conditionalFormatting sqref="CK1:CK1048576">
    <cfRule type="dataBar" priority="17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{55CAA2A7-37E2-4C25-BB1B-736891C429B7}</x14:id>
        </ext>
      </extLst>
    </cfRule>
  </conditionalFormatting>
  <conditionalFormatting sqref="CL1:CL1048576">
    <cfRule type="dataBar" priority="16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{85E881C4-4478-475E-9BC6-D1CCB61F43BE}</x14:id>
        </ext>
      </extLst>
    </cfRule>
  </conditionalFormatting>
  <conditionalFormatting sqref="CF1:CF1048576">
    <cfRule type="colorScale" priority="15">
      <colorScale>
        <cfvo type="min"/>
        <cfvo type="max"/>
        <color rgb="FFFFEF9C"/>
        <color rgb="FF63BE7B"/>
      </colorScale>
    </cfRule>
  </conditionalFormatting>
  <conditionalFormatting sqref="DD1:DD1048576">
    <cfRule type="iconSet" priority="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14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{C10A5743-2E0A-4009-BE31-B6B900340B7E}</x14:id>
        </ext>
      </extLst>
    </cfRule>
  </conditionalFormatting>
  <conditionalFormatting sqref="DE1:DE1048576">
    <cfRule type="iconSet" priority="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13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{B07B3CE0-05B8-4799-8E6C-EB6682F3ABA9}</x14:id>
        </ext>
      </extLst>
    </cfRule>
  </conditionalFormatting>
  <conditionalFormatting sqref="DF1:DF1048576">
    <cfRule type="iconSet" priority="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12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{25A53874-37AE-488A-8ED9-403B2C051EBE}</x14:id>
        </ext>
      </extLst>
    </cfRule>
  </conditionalFormatting>
  <conditionalFormatting sqref="DG1:DG1048576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11">
      <dataBar>
        <cfvo type="min"/>
        <cfvo type="max"/>
        <color rgb="FF348850"/>
      </dataBar>
      <extLst>
        <ext xmlns:x14="http://schemas.microsoft.com/office/spreadsheetml/2009/9/main" uri="{B025F937-C7B1-47D3-B67F-A62EFF666E3E}">
          <x14:id>{A06B09DE-A970-41E9-B415-50B9F0810608}</x14:id>
        </ext>
      </extLst>
    </cfRule>
  </conditionalFormatting>
  <conditionalFormatting sqref="CW1:CW1048576">
    <cfRule type="dataBar" priority="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{E44431E3-D18B-4E36-A364-EF37500FBB5D}</x14:id>
        </ext>
      </extLst>
    </cfRule>
  </conditionalFormatting>
  <conditionalFormatting sqref="CX1:CX1048576">
    <cfRule type="dataBar" priority="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{F90AC8D8-D126-4802-9624-F92DBECEEB66}</x14:id>
        </ext>
      </extLst>
    </cfRule>
  </conditionalFormatting>
  <conditionalFormatting sqref="DI1:DI1048576">
    <cfRule type="dataBar" priority="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{60E80C8A-1A3E-443B-A317-C291CA2673F4}</x14:id>
        </ext>
      </extLst>
    </cfRule>
  </conditionalFormatting>
  <conditionalFormatting sqref="DJ1:DJ1048576">
    <cfRule type="dataBar" priority="2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{BA09BF65-D912-4A4D-91D1-685097F77626}</x14:id>
        </ext>
      </extLst>
    </cfRule>
  </conditionalFormatting>
  <conditionalFormatting sqref="DK1:DK1048576">
    <cfRule type="dataBar" priority="1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{E577CF6C-A4E9-4818-8E78-344723BB2542}</x14:id>
        </ext>
      </extLst>
    </cfRule>
  </conditionalFormatting>
  <conditionalFormatting sqref="EW12:EW1048576">
    <cfRule type="colorScale" priority="2625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2:CV1048576 CS1:CT11">
    <cfRule type="colorScale" priority="2625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2:BN1048576">
    <cfRule type="colorScale" priority="2625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2:BU1048576 BM1:BU11">
    <cfRule type="colorScale" priority="2625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2:BR1048576 BM1:BR11">
    <cfRule type="colorScale" priority="2625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:BU11">
    <cfRule type="colorScale" priority="2625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1">
    <cfRule type="colorScale" priority="2625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1">
    <cfRule type="colorScale" priority="26252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25284">
      <colorScale>
        <cfvo type="min"/>
        <cfvo type="max"/>
        <color rgb="FF63BE7B"/>
        <color rgb="FFFCFCFF"/>
      </colorScale>
    </cfRule>
  </conditionalFormatting>
  <conditionalFormatting sqref="BU2:BU11">
    <cfRule type="colorScale" priority="2625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1">
    <cfRule type="colorScale" priority="26252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25287">
      <colorScale>
        <cfvo type="min"/>
        <cfvo type="max"/>
        <color rgb="FF63BE7B"/>
        <color rgb="FFFCFCFF"/>
      </colorScale>
    </cfRule>
  </conditionalFormatting>
  <conditionalFormatting sqref="DR2:DR11">
    <cfRule type="colorScale" priority="2625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R2:DR11">
    <cfRule type="colorScale" priority="2625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1:BQ11">
    <cfRule type="colorScale" priority="2625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2:EI11">
    <cfRule type="colorScale" priority="2625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2:EI11">
    <cfRule type="colorScale" priority="2625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1">
    <cfRule type="colorScale" priority="26252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25294">
      <colorScale>
        <cfvo type="min"/>
        <cfvo type="max"/>
        <color rgb="FFFCFCFF"/>
        <color rgb="FFF8696B"/>
      </colorScale>
    </cfRule>
  </conditionalFormatting>
  <conditionalFormatting sqref="AQ2:AQ11">
    <cfRule type="colorScale" priority="2625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25296">
      <colorScale>
        <cfvo type="min"/>
        <cfvo type="max"/>
        <color rgb="FFFCFCFF"/>
        <color rgb="FFF8696B"/>
      </colorScale>
    </cfRule>
  </conditionalFormatting>
  <conditionalFormatting sqref="DR1:DR11">
    <cfRule type="colorScale" priority="2625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Z1:DZ11">
    <cfRule type="colorScale" priority="2625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Z2:DZ11">
    <cfRule type="colorScale" priority="2625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Z2:DZ11">
    <cfRule type="colorScale" priority="2625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11">
    <cfRule type="colorScale" priority="2625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451C48-7E1E-4E6A-816D-B3356C1124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AEA3033-7C19-411F-9B7F-5FC683A115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CP1:CP1048576</xm:sqref>
        </x14:conditionalFormatting>
        <x14:conditionalFormatting xmlns:xm="http://schemas.microsoft.com/office/excel/2006/main">
          <x14:cfRule type="dataBar" id="{9EE375F2-184F-4598-85E9-EEDEF77B01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E60392A9-025E-4DEB-B8DE-053CB841D8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65CAD4F3-9D45-4E39-BF2E-B11AE4889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AK1:AK1048576</xm:sqref>
        </x14:conditionalFormatting>
        <x14:conditionalFormatting xmlns:xm="http://schemas.microsoft.com/office/excel/2006/main">
          <x14:cfRule type="dataBar" id="{BBE8573A-A27D-4438-9A8D-897D172F2E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BE1:BE1048576</xm:sqref>
        </x14:conditionalFormatting>
        <x14:conditionalFormatting xmlns:xm="http://schemas.microsoft.com/office/excel/2006/main">
          <x14:cfRule type="dataBar" id="{11D64A83-7A8C-48DE-B5F9-50AE3B3CDC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76B643AD-0B76-4A4D-8183-D87F782085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DE0112C0-4E83-4D87-BDA9-14D607E71F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9353CEAC-9A12-4647-9FA7-78248C808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16945FE4-5190-49A6-B654-0E66A0CE42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71E70157-23DE-4968-9F85-226722CAC5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46E4D2DA-BFBF-447A-88E9-BACF306471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6F876B10-56DE-4138-942F-61309957E6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DEAB641F-52A8-4F62-A2F3-67FA3C0D6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9A4E28FF-0F61-493B-955D-336E6F6187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FEE01AE2-A858-443F-A379-6101EB8DCC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BC1:BC1048576</xm:sqref>
        </x14:conditionalFormatting>
        <x14:conditionalFormatting xmlns:xm="http://schemas.microsoft.com/office/excel/2006/main">
          <x14:cfRule type="dataBar" id="{E0289788-C46A-4E50-9163-40D3BEA8D4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BD1:BD1048576</xm:sqref>
        </x14:conditionalFormatting>
        <x14:conditionalFormatting xmlns:xm="http://schemas.microsoft.com/office/excel/2006/main">
          <x14:cfRule type="dataBar" id="{B2440787-A19F-4AA3-B979-734448C1C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AF1:AF1048576</xm:sqref>
        </x14:conditionalFormatting>
        <x14:conditionalFormatting xmlns:xm="http://schemas.microsoft.com/office/excel/2006/main">
          <x14:cfRule type="dataBar" id="{40A97135-17D7-4076-9218-36D4232AE8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AG1:AG1048576</xm:sqref>
        </x14:conditionalFormatting>
        <x14:conditionalFormatting xmlns:xm="http://schemas.microsoft.com/office/excel/2006/main">
          <x14:cfRule type="dataBar" id="{55CAA2A7-37E2-4C25-BB1B-736891C429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CK1:CK1048576</xm:sqref>
        </x14:conditionalFormatting>
        <x14:conditionalFormatting xmlns:xm="http://schemas.microsoft.com/office/excel/2006/main">
          <x14:cfRule type="dataBar" id="{85E881C4-4478-475E-9BC6-D1CCB61F43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CL1:CL1048576</xm:sqref>
        </x14:conditionalFormatting>
        <x14:conditionalFormatting xmlns:xm="http://schemas.microsoft.com/office/excel/2006/main">
          <x14:cfRule type="dataBar" id="{C10A5743-2E0A-4009-BE31-B6B900340B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DD1:DD1048576</xm:sqref>
        </x14:conditionalFormatting>
        <x14:conditionalFormatting xmlns:xm="http://schemas.microsoft.com/office/excel/2006/main">
          <x14:cfRule type="dataBar" id="{B07B3CE0-05B8-4799-8E6C-EB6682F3AB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DE1:DE1048576</xm:sqref>
        </x14:conditionalFormatting>
        <x14:conditionalFormatting xmlns:xm="http://schemas.microsoft.com/office/excel/2006/main">
          <x14:cfRule type="dataBar" id="{25A53874-37AE-488A-8ED9-403B2C051E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DF1:DF1048576</xm:sqref>
        </x14:conditionalFormatting>
        <x14:conditionalFormatting xmlns:xm="http://schemas.microsoft.com/office/excel/2006/main">
          <x14:cfRule type="dataBar" id="{A06B09DE-A970-41E9-B415-50B9F08106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DG1:DG1048576</xm:sqref>
        </x14:conditionalFormatting>
        <x14:conditionalFormatting xmlns:xm="http://schemas.microsoft.com/office/excel/2006/main">
          <x14:cfRule type="dataBar" id="{E44431E3-D18B-4E36-A364-EF37500FBB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CW1:CW1048576</xm:sqref>
        </x14:conditionalFormatting>
        <x14:conditionalFormatting xmlns:xm="http://schemas.microsoft.com/office/excel/2006/main">
          <x14:cfRule type="dataBar" id="{F90AC8D8-D126-4802-9624-F92DBECEEB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CX1:CX1048576</xm:sqref>
        </x14:conditionalFormatting>
        <x14:conditionalFormatting xmlns:xm="http://schemas.microsoft.com/office/excel/2006/main">
          <x14:cfRule type="dataBar" id="{60E80C8A-1A3E-443B-A317-C291CA2673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DI1:DI1048576</xm:sqref>
        </x14:conditionalFormatting>
        <x14:conditionalFormatting xmlns:xm="http://schemas.microsoft.com/office/excel/2006/main">
          <x14:cfRule type="dataBar" id="{BA09BF65-D912-4A4D-91D1-685097F776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DJ1:DJ1048576</xm:sqref>
        </x14:conditionalFormatting>
        <x14:conditionalFormatting xmlns:xm="http://schemas.microsoft.com/office/excel/2006/main">
          <x14:cfRule type="dataBar" id="{E577CF6C-A4E9-4818-8E78-344723BB25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DK1:DK1048576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-0.249977111117893"/>
  </sheetPr>
  <dimension ref="A1:FD11"/>
  <sheetViews>
    <sheetView zoomScale="90" zoomScaleNormal="90" workbookViewId="0">
      <pane xSplit="2" ySplit="1" topLeftCell="C2" activePane="bottomRight" state="frozen"/>
      <selection activeCell="G1" sqref="G1:G1048576"/>
      <selection pane="topRight" activeCell="G1" sqref="G1:G1048576"/>
      <selection pane="bottomLeft" activeCell="G1" sqref="G1:G1048576"/>
      <selection pane="bottomRight"/>
    </sheetView>
  </sheetViews>
  <sheetFormatPr defaultColWidth="15.7109375" defaultRowHeight="24.95" customHeight="1" x14ac:dyDescent="0.25"/>
  <cols>
    <col min="1" max="1" width="9.140625" customWidth="1"/>
    <col min="2" max="2" width="30.7109375" customWidth="1"/>
    <col min="3" max="3" width="12.5703125" customWidth="1"/>
    <col min="4" max="4" width="21.7109375" customWidth="1"/>
    <col min="5" max="5" width="23.85546875" bestFit="1" customWidth="1"/>
    <col min="6" max="6" width="14" customWidth="1"/>
    <col min="7" max="7" width="15.7109375" customWidth="1"/>
    <col min="8" max="8" width="17.140625" customWidth="1"/>
    <col min="9" max="9" width="16.85546875" customWidth="1"/>
    <col min="10" max="11" width="15.7109375" customWidth="1"/>
    <col min="12" max="108" width="18.7109375" customWidth="1"/>
    <col min="109" max="109" width="18.7109375" style="103" customWidth="1"/>
    <col min="110" max="110" width="9.7109375" style="1" customWidth="1"/>
    <col min="111" max="111" width="12.7109375" style="150" customWidth="1"/>
    <col min="112" max="114" width="12.7109375" style="1" customWidth="1"/>
    <col min="115" max="115" width="12.7109375" style="150" customWidth="1"/>
    <col min="116" max="159" width="12.7109375" style="1" customWidth="1"/>
    <col min="160" max="160" width="12.7109375" style="150" customWidth="1"/>
  </cols>
  <sheetData>
    <row r="1" spans="1:160" ht="50.1" customHeight="1" thickBot="1" x14ac:dyDescent="0.3">
      <c r="A1" s="112"/>
      <c r="B1" s="4" t="s">
        <v>20</v>
      </c>
      <c r="C1" s="4" t="s">
        <v>212</v>
      </c>
      <c r="D1" s="94" t="s">
        <v>230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2</v>
      </c>
      <c r="J1" s="4" t="s">
        <v>229</v>
      </c>
      <c r="K1" s="4" t="s">
        <v>119</v>
      </c>
      <c r="L1" s="30" t="s">
        <v>415</v>
      </c>
      <c r="M1" s="30" t="s">
        <v>416</v>
      </c>
      <c r="N1" s="30" t="s">
        <v>419</v>
      </c>
      <c r="O1" s="221" t="s">
        <v>22</v>
      </c>
      <c r="P1" s="221" t="s">
        <v>24</v>
      </c>
      <c r="Q1" s="221" t="s">
        <v>23</v>
      </c>
      <c r="R1" s="221" t="s">
        <v>189</v>
      </c>
      <c r="S1" s="98" t="s">
        <v>38</v>
      </c>
      <c r="T1" s="98" t="s">
        <v>411</v>
      </c>
      <c r="U1" s="46" t="s">
        <v>328</v>
      </c>
      <c r="V1" s="46" t="s">
        <v>329</v>
      </c>
      <c r="W1" s="46" t="s">
        <v>330</v>
      </c>
      <c r="X1" s="46" t="s">
        <v>331</v>
      </c>
      <c r="Y1" s="46" t="s">
        <v>332</v>
      </c>
      <c r="Z1" s="46" t="s">
        <v>333</v>
      </c>
      <c r="AA1" s="46" t="s">
        <v>351</v>
      </c>
      <c r="AB1" s="46" t="s">
        <v>325</v>
      </c>
      <c r="AC1" s="104" t="s">
        <v>239</v>
      </c>
      <c r="AD1" s="104" t="s">
        <v>236</v>
      </c>
      <c r="AE1" s="105" t="s">
        <v>237</v>
      </c>
      <c r="AF1" s="104" t="s">
        <v>238</v>
      </c>
      <c r="AG1" s="52" t="s">
        <v>180</v>
      </c>
      <c r="AH1" s="52" t="s">
        <v>135</v>
      </c>
      <c r="AI1" s="52" t="s">
        <v>43</v>
      </c>
      <c r="AJ1" s="52" t="s">
        <v>136</v>
      </c>
      <c r="AK1" s="192" t="s">
        <v>245</v>
      </c>
      <c r="AL1" s="192" t="s">
        <v>250</v>
      </c>
      <c r="AM1" s="52" t="s">
        <v>70</v>
      </c>
      <c r="AN1" s="142" t="s">
        <v>69</v>
      </c>
      <c r="AO1" s="142" t="s">
        <v>252</v>
      </c>
      <c r="AP1" s="34" t="s">
        <v>98</v>
      </c>
      <c r="AQ1" s="34" t="s">
        <v>253</v>
      </c>
      <c r="AR1" s="34" t="s">
        <v>111</v>
      </c>
      <c r="AS1" s="34" t="s">
        <v>254</v>
      </c>
      <c r="AT1" s="15" t="s">
        <v>112</v>
      </c>
      <c r="AU1" s="4" t="s">
        <v>81</v>
      </c>
      <c r="AV1" s="4" t="s">
        <v>576</v>
      </c>
      <c r="AW1" s="4" t="s">
        <v>535</v>
      </c>
      <c r="AX1" s="4" t="s">
        <v>536</v>
      </c>
      <c r="AY1" s="4" t="s">
        <v>534</v>
      </c>
      <c r="AZ1" s="4" t="s">
        <v>27</v>
      </c>
      <c r="BA1" s="163" t="s">
        <v>44</v>
      </c>
      <c r="BB1" s="164" t="s">
        <v>176</v>
      </c>
      <c r="BC1" s="38" t="s">
        <v>284</v>
      </c>
      <c r="BD1" s="38" t="s">
        <v>613</v>
      </c>
      <c r="BE1" s="38" t="s">
        <v>283</v>
      </c>
      <c r="BF1" s="38" t="s">
        <v>282</v>
      </c>
      <c r="BG1" s="80" t="s">
        <v>281</v>
      </c>
      <c r="BH1" s="4" t="s">
        <v>385</v>
      </c>
      <c r="BI1" s="4" t="s">
        <v>577</v>
      </c>
      <c r="BJ1" s="4" t="s">
        <v>138</v>
      </c>
      <c r="BK1" s="4" t="s">
        <v>478</v>
      </c>
      <c r="BL1" s="4" t="s">
        <v>47</v>
      </c>
      <c r="BM1" s="212" t="s">
        <v>428</v>
      </c>
      <c r="BN1" s="40" t="s">
        <v>612</v>
      </c>
      <c r="BO1" s="40" t="s">
        <v>441</v>
      </c>
      <c r="BP1" s="40" t="s">
        <v>345</v>
      </c>
      <c r="BQ1" s="19" t="s">
        <v>167</v>
      </c>
      <c r="BR1" s="19" t="s">
        <v>443</v>
      </c>
      <c r="BS1" s="193" t="s">
        <v>389</v>
      </c>
      <c r="BT1" s="193" t="s">
        <v>391</v>
      </c>
      <c r="BU1" s="4" t="s">
        <v>91</v>
      </c>
      <c r="BV1" s="4" t="s">
        <v>45</v>
      </c>
      <c r="BW1" s="51" t="s">
        <v>459</v>
      </c>
      <c r="BX1" s="51" t="s">
        <v>461</v>
      </c>
      <c r="BY1" s="308" t="s">
        <v>578</v>
      </c>
      <c r="BZ1" s="308" t="s">
        <v>579</v>
      </c>
      <c r="CA1" s="46" t="s">
        <v>580</v>
      </c>
      <c r="CB1" s="46" t="s">
        <v>131</v>
      </c>
      <c r="CC1" s="38" t="s">
        <v>335</v>
      </c>
      <c r="CD1" s="38" t="s">
        <v>581</v>
      </c>
      <c r="CE1" s="38" t="s">
        <v>336</v>
      </c>
      <c r="CF1" s="38" t="s">
        <v>582</v>
      </c>
      <c r="CG1" s="38" t="s">
        <v>137</v>
      </c>
      <c r="CH1" s="311" t="s">
        <v>457</v>
      </c>
      <c r="CI1" s="311" t="s">
        <v>458</v>
      </c>
      <c r="CJ1" s="46" t="s">
        <v>307</v>
      </c>
      <c r="CK1" s="46" t="s">
        <v>139</v>
      </c>
      <c r="CL1" s="115" t="s">
        <v>181</v>
      </c>
      <c r="CM1" s="115" t="s">
        <v>182</v>
      </c>
      <c r="CN1" s="115" t="s">
        <v>184</v>
      </c>
      <c r="CO1" s="116" t="s">
        <v>183</v>
      </c>
      <c r="CP1" s="120" t="s">
        <v>140</v>
      </c>
      <c r="CQ1" s="119" t="s">
        <v>143</v>
      </c>
      <c r="CR1" s="119" t="s">
        <v>141</v>
      </c>
      <c r="CS1" s="119" t="s">
        <v>144</v>
      </c>
      <c r="CT1" s="211" t="s">
        <v>445</v>
      </c>
      <c r="CU1" s="211" t="s">
        <v>446</v>
      </c>
      <c r="CV1" s="48" t="s">
        <v>142</v>
      </c>
      <c r="CW1" s="74" t="s">
        <v>186</v>
      </c>
      <c r="CX1" s="47" t="s">
        <v>422</v>
      </c>
      <c r="CY1" s="47" t="s">
        <v>80</v>
      </c>
      <c r="CZ1" s="47" t="s">
        <v>442</v>
      </c>
      <c r="DA1" s="72" t="s">
        <v>166</v>
      </c>
      <c r="DB1" s="43" t="s">
        <v>409</v>
      </c>
      <c r="DC1" s="43" t="s">
        <v>410</v>
      </c>
      <c r="DD1" s="43" t="s">
        <v>178</v>
      </c>
      <c r="DE1" s="110" t="s">
        <v>25</v>
      </c>
      <c r="DF1" s="289" t="s">
        <v>14</v>
      </c>
      <c r="DG1" s="290" t="s">
        <v>20</v>
      </c>
      <c r="DH1" s="290" t="s">
        <v>29</v>
      </c>
      <c r="DI1" s="290" t="s">
        <v>1</v>
      </c>
      <c r="DJ1" s="290" t="s">
        <v>2</v>
      </c>
      <c r="DK1" s="290" t="s">
        <v>3</v>
      </c>
      <c r="DL1" s="290" t="s">
        <v>584</v>
      </c>
      <c r="DM1" s="290" t="s">
        <v>40</v>
      </c>
      <c r="DN1" s="290" t="s">
        <v>88</v>
      </c>
      <c r="DO1" s="290" t="s">
        <v>0</v>
      </c>
      <c r="DP1" s="290" t="s">
        <v>585</v>
      </c>
      <c r="DQ1" s="290" t="s">
        <v>608</v>
      </c>
      <c r="DR1" s="290" t="s">
        <v>30</v>
      </c>
      <c r="DS1" s="290" t="s">
        <v>587</v>
      </c>
      <c r="DT1" s="290" t="s">
        <v>609</v>
      </c>
      <c r="DU1" s="290" t="s">
        <v>610</v>
      </c>
      <c r="DV1" s="290" t="s">
        <v>63</v>
      </c>
      <c r="DW1" s="290" t="s">
        <v>262</v>
      </c>
      <c r="DX1" s="290" t="s">
        <v>4</v>
      </c>
      <c r="DY1" s="290" t="s">
        <v>177</v>
      </c>
      <c r="DZ1" s="290" t="s">
        <v>165</v>
      </c>
      <c r="EA1" s="290" t="s">
        <v>164</v>
      </c>
      <c r="EB1" s="290" t="s">
        <v>7</v>
      </c>
      <c r="EC1" s="290" t="s">
        <v>11</v>
      </c>
      <c r="ED1" s="290" t="s">
        <v>17</v>
      </c>
      <c r="EE1" s="290" t="s">
        <v>185</v>
      </c>
      <c r="EF1" s="290" t="s">
        <v>15</v>
      </c>
      <c r="EG1" s="290" t="s">
        <v>16</v>
      </c>
      <c r="EH1" s="290" t="s">
        <v>606</v>
      </c>
      <c r="EI1" s="290" t="s">
        <v>605</v>
      </c>
      <c r="EJ1" s="290" t="s">
        <v>8</v>
      </c>
      <c r="EK1" s="290" t="s">
        <v>9</v>
      </c>
      <c r="EL1" s="290" t="s">
        <v>187</v>
      </c>
      <c r="EM1" s="290" t="s">
        <v>188</v>
      </c>
      <c r="EN1" s="290" t="s">
        <v>603</v>
      </c>
      <c r="EO1" s="290" t="s">
        <v>103</v>
      </c>
      <c r="EP1" s="290" t="s">
        <v>595</v>
      </c>
      <c r="EQ1" s="290" t="s">
        <v>48</v>
      </c>
      <c r="ER1" s="290" t="s">
        <v>251</v>
      </c>
      <c r="ES1" s="290" t="s">
        <v>41</v>
      </c>
      <c r="ET1" s="290" t="s">
        <v>234</v>
      </c>
      <c r="EU1" s="290" t="s">
        <v>49</v>
      </c>
      <c r="EV1" s="290" t="s">
        <v>92</v>
      </c>
      <c r="EW1" s="290" t="s">
        <v>93</v>
      </c>
      <c r="EX1" s="290" t="s">
        <v>12</v>
      </c>
      <c r="EY1" s="290" t="s">
        <v>611</v>
      </c>
      <c r="EZ1" s="290" t="s">
        <v>5</v>
      </c>
      <c r="FA1" s="290" t="s">
        <v>102</v>
      </c>
      <c r="FB1" s="290" t="s">
        <v>10</v>
      </c>
      <c r="FC1" s="290" t="s">
        <v>18</v>
      </c>
      <c r="FD1" s="291" t="s">
        <v>600</v>
      </c>
    </row>
    <row r="2" spans="1:160" ht="24.95" customHeight="1" thickBot="1" x14ac:dyDescent="0.3">
      <c r="A2" s="29" t="str">
        <f t="shared" ref="A2:A11" si="0">ROW()-1 &amp; "º"</f>
        <v>1º</v>
      </c>
      <c r="B2" s="70" t="str">
        <f t="shared" ref="B2:B11" si="1">DG2</f>
        <v>Paulinho</v>
      </c>
      <c r="C2" s="86" t="str">
        <f t="shared" ref="C2:C11" si="2">DL2</f>
        <v>BRA</v>
      </c>
      <c r="D2" s="99" t="str">
        <f t="shared" ref="D2:D11" si="3">DM2</f>
        <v>Somente Pé Esquerdo</v>
      </c>
      <c r="E2" s="65" t="str">
        <f t="shared" ref="E2:E11" si="4">DO2</f>
        <v>Bela Vista (TO)</v>
      </c>
      <c r="F2" s="166">
        <f t="shared" ref="F2:F11" si="5">IFERROR(SUBSTITUTE(DH2," cm","")/100,0)</f>
        <v>1.81</v>
      </c>
      <c r="G2" s="168">
        <f t="shared" ref="G2:G11" si="6">DI2</f>
        <v>32</v>
      </c>
      <c r="H2" s="304" t="str">
        <f t="shared" ref="H2:H11" si="7">DK2</f>
        <v>€1,2m p/m</v>
      </c>
      <c r="I2" s="66">
        <f t="shared" ref="I2:I11" si="8">IF(DJ2="", "Sem valor estimado",
   IF(DJ2="Não está à venda", "Não está à venda",
   IF(LEN(DJ2)-LEN(SUBSTITUTE(DJ2, "-", ""))=0, DJ2,
   IFERROR(
      AVERAGE(
         VALUE(LEFT(DJ2, SEARCH("M", DJ2)-1)),
         VALUE(MID(DJ2, SEARCH("-", DJ2)+2, SEARCH("M", DJ2, SEARCH("-", DJ2))-SEARCH("-", DJ2)-2))
      ) &amp; IF(SEARCH("M", DJ2) &gt; 0, "M", "m"),
      "m"
   )
)))</f>
        <v>0</v>
      </c>
      <c r="J2" s="96">
        <f t="shared" ref="J2:J11" si="9">IFERROR(AVERAGE(K:K),0)</f>
        <v>3.9299999999999997</v>
      </c>
      <c r="K2" s="146">
        <f t="shared" ref="K2:K11" si="10">IFERROR(DP2/90,0)</f>
        <v>4</v>
      </c>
      <c r="L2" s="188">
        <f t="shared" ref="L2:L11" si="11">IFERROR(IF(ISERROR(FIND("(",DQ2)), VALUE(DQ2), VALUE(LEFT(DQ2,FIND("(",DQ2)-2)) + VALUE(MID(DQ2,FIND("(",DQ2)+1,FIND(")",DQ2)-FIND("(",DQ2)-1))),0)</f>
        <v>4</v>
      </c>
      <c r="M2" s="188">
        <f t="shared" ref="M2:M11" si="12">IFERROR(DP2/L2,0)</f>
        <v>90</v>
      </c>
      <c r="N2" s="189">
        <f t="shared" ref="N2:N11" si="13">IFERROR(IF(ISERROR(FIND("(",DQ2)), "100%", TEXT(VALUE(LEFT(DQ2,FIND("(",DQ2)-2)) / (VALUE(LEFT(DQ2,FIND("(",DQ2)-2)) + VALUE(MID(DQ2,FIND("(",DQ2)+1,FIND(")",DQ2)-FIND("(",DQ2)-1))),"0%")),0)*1</f>
        <v>1</v>
      </c>
      <c r="O2" s="55">
        <f t="shared" ref="O2:O11" si="14">DT2</f>
        <v>0</v>
      </c>
      <c r="P2" s="55">
        <f t="shared" ref="P2:P11" si="15">DU2</f>
        <v>0</v>
      </c>
      <c r="Q2" s="55">
        <f t="shared" ref="Q2:Q11" si="16">IFERROR(O2+P2,0)</f>
        <v>0</v>
      </c>
      <c r="R2" s="57">
        <f t="shared" ref="R2:R11" si="17">IFERROR(Q2/K2,0)</f>
        <v>0</v>
      </c>
      <c r="S2" s="56">
        <f t="shared" ref="S2:S11" si="18">DR2</f>
        <v>0</v>
      </c>
      <c r="T2" s="63">
        <f t="shared" ref="T2:T11" si="19">IFERROR((S2*1)/K2,0)</f>
        <v>0</v>
      </c>
      <c r="U2" s="57">
        <f t="shared" ref="U2:U11" si="20">SUBSTITUTE(EB2,".",",")*1</f>
        <v>0.14000000000000001</v>
      </c>
      <c r="V2" s="57">
        <f t="shared" ref="V2:V11" si="21">IFERROR((U2/K2),0)</f>
        <v>3.5000000000000003E-2</v>
      </c>
      <c r="W2" s="57">
        <f t="shared" ref="W2:W11" si="22">IFERROR((VALUE(SUBSTITUTE(EB2,".",","))-(EZ2*0.79)),0)</f>
        <v>0.14000000000000001</v>
      </c>
      <c r="X2" s="57">
        <f t="shared" ref="X2:X11" si="23">IFERROR(W2/K2,0)</f>
        <v>3.5000000000000003E-2</v>
      </c>
      <c r="Y2" s="57">
        <f t="shared" ref="Y2:Y11" si="24">VALUE(SUBSTITUTE(EA2,".",","))</f>
        <v>0.23</v>
      </c>
      <c r="Z2" s="57">
        <f t="shared" ref="Z2:Z11" si="25">IFERROR(Y2/K2,0)</f>
        <v>5.7500000000000002E-2</v>
      </c>
      <c r="AA2" s="57">
        <f t="shared" ref="AA2:AA11" si="26">IFERROR(W2+Y2,0)</f>
        <v>0.37</v>
      </c>
      <c r="AB2" s="57">
        <f t="shared" ref="AB2:AB11" si="27">IFERROR(AA2/K2,0)</f>
        <v>9.2499999999999999E-2</v>
      </c>
      <c r="AC2" s="56">
        <f t="shared" ref="AC2:AC11" si="28">EZ2</f>
        <v>0</v>
      </c>
      <c r="AD2" s="56">
        <f t="shared" ref="AD2:AD11" si="29">FA2</f>
        <v>0</v>
      </c>
      <c r="AE2" s="56">
        <f t="shared" ref="AE2:AE11" si="30">IFERROR(AC2-AD2,0)</f>
        <v>0</v>
      </c>
      <c r="AF2" s="60">
        <f t="shared" ref="AF2:AF11" si="31">IFERROR((AD2*1)/AC2,0.0000001)</f>
        <v>9.9999999999999995E-8</v>
      </c>
      <c r="AG2" s="56">
        <f t="shared" ref="AG2:AG11" si="32">EO2+EN2</f>
        <v>8</v>
      </c>
      <c r="AH2" s="57">
        <f t="shared" ref="AH2:AH11" si="33">IFERROR(AG2/K2,0)</f>
        <v>2</v>
      </c>
      <c r="AI2" s="55">
        <f t="shared" ref="AI2:AI11" si="34">EP2</f>
        <v>5</v>
      </c>
      <c r="AJ2" s="57">
        <f t="shared" ref="AJ2:AJ11" si="35">IFERROR(AI2/K2,0)</f>
        <v>1.25</v>
      </c>
      <c r="AK2" s="56">
        <f t="shared" ref="AK2:AK11" si="36">EO2-EP2</f>
        <v>0</v>
      </c>
      <c r="AL2" s="57">
        <f t="shared" ref="AL2:AL11" si="37">IFERROR(AK2/K2,0)</f>
        <v>0</v>
      </c>
      <c r="AM2" s="114">
        <f t="shared" ref="AM2:AM11" si="38">IFERROR((AI2*1)/AG2,0)</f>
        <v>0.625</v>
      </c>
      <c r="AN2" s="56">
        <f t="shared" ref="AN2:AN11" si="39">EN2</f>
        <v>3</v>
      </c>
      <c r="AO2" s="57">
        <f t="shared" ref="AO2:AO11" si="40">IFERROR(AN2/K2,0)</f>
        <v>0.75</v>
      </c>
      <c r="AP2" s="56">
        <f t="shared" ref="AP2:AP11" si="41">IFERROR(EN2+EL2+EO2+ER2,0)</f>
        <v>36</v>
      </c>
      <c r="AQ2" s="57">
        <f t="shared" ref="AQ2:AQ11" si="42">IFERROR(AP2/K2,0)</f>
        <v>9</v>
      </c>
      <c r="AR2" s="56">
        <f t="shared" ref="AR2:AR11" si="43">IFERROR(EM2+EP2+EQ2+ER2,0)</f>
        <v>14</v>
      </c>
      <c r="AS2" s="57">
        <f t="shared" ref="AS2:AS11" si="44">IFERROR(AR2/K2,0)</f>
        <v>3.5</v>
      </c>
      <c r="AT2" s="60">
        <f t="shared" ref="AT2:AT11" si="45">IFERROR((AR2*1)/AP2,0)</f>
        <v>0.3888888888888889</v>
      </c>
      <c r="AU2" s="61">
        <f t="shared" ref="AU2:AU11" si="46">EF2</f>
        <v>229</v>
      </c>
      <c r="AV2" s="62">
        <f t="shared" ref="AV2:AV11" si="47">IFERROR(AU2/K2,0)</f>
        <v>57.25</v>
      </c>
      <c r="AW2" s="61">
        <f t="shared" ref="AW2:AW11" si="48">EG2</f>
        <v>201</v>
      </c>
      <c r="AX2" s="62">
        <f t="shared" ref="AX2:AX11" si="49">AW2/K2</f>
        <v>50.25</v>
      </c>
      <c r="AY2" s="63">
        <f t="shared" ref="AY2:AY11" si="50">AW2/AU2</f>
        <v>0.87772925764192145</v>
      </c>
      <c r="AZ2" s="61">
        <f t="shared" ref="AZ2:AZ11" si="51">IFERROR((EF2-EG2)+(EV2-EW2),0)</f>
        <v>38</v>
      </c>
      <c r="BA2" s="57">
        <f t="shared" ref="BA2:BA11" si="52">IFERROR((AZ2/K2),0)</f>
        <v>9.5</v>
      </c>
      <c r="BB2" s="57">
        <f t="shared" ref="BB2:BB11" si="53">IFERROR(EF2/(EF2-EG2),0)</f>
        <v>8.1785714285714288</v>
      </c>
      <c r="BC2" s="56">
        <f t="shared" ref="BC2:BC11" si="54">EF2-EI2</f>
        <v>201</v>
      </c>
      <c r="BD2" s="57">
        <f t="shared" ref="BD2:BD11" si="55">IFERROR(BC2/K2,0)</f>
        <v>50.25</v>
      </c>
      <c r="BE2" s="56">
        <f t="shared" ref="BE2:BE11" si="56">EI2</f>
        <v>28</v>
      </c>
      <c r="BF2" s="57">
        <f t="shared" ref="BF2:BF11" si="57">BE2/K2</f>
        <v>7</v>
      </c>
      <c r="BG2" s="305">
        <f t="shared" ref="BG2:BG11" si="58">IFERROR(EI2/BC2,0)</f>
        <v>0.13930348258706468</v>
      </c>
      <c r="BH2" s="56">
        <f t="shared" ref="BH2:BH11" si="59">EV2</f>
        <v>14</v>
      </c>
      <c r="BI2" s="57">
        <f t="shared" ref="BI2:BI11" si="60">EV2/K2</f>
        <v>3.5</v>
      </c>
      <c r="BJ2" s="56">
        <f t="shared" ref="BJ2:BJ11" si="61">EW2</f>
        <v>4</v>
      </c>
      <c r="BK2" s="57">
        <f t="shared" ref="BK2:BK11" si="62">EW2/K2</f>
        <v>1</v>
      </c>
      <c r="BL2" s="59">
        <f t="shared" ref="BL2:BL11" si="63">IFERROR((BJ2*1)/BH2,0)</f>
        <v>0.2857142857142857</v>
      </c>
      <c r="BM2" s="56">
        <f t="shared" ref="BM2:BM11" si="64">EH2</f>
        <v>2</v>
      </c>
      <c r="BN2" s="57">
        <f t="shared" ref="BN2:BN11" si="65">IFERROR(BM2/K2,0)</f>
        <v>0.5</v>
      </c>
      <c r="BO2" s="57">
        <f t="shared" ref="BO2:BO11" si="66">IFERROR(DP2/(DX2+EH2+EK2),0)</f>
        <v>180</v>
      </c>
      <c r="BP2" s="57">
        <f t="shared" ref="BP2:BP11" si="67">IFERROR((DP2/EH2),0)</f>
        <v>180</v>
      </c>
      <c r="BQ2" s="57">
        <f t="shared" ref="BQ2:BQ11" si="68">IFERROR(VALUE(SUBSTITUTE(EA2,".",",")),0)</f>
        <v>0.23</v>
      </c>
      <c r="BR2" s="57">
        <f t="shared" ref="BR2:BR11" si="69">IFERROR(BQ2-DU2,0)</f>
        <v>0.23</v>
      </c>
      <c r="BS2" s="306">
        <f t="shared" ref="BS2:BS11" si="70">IFERROR(EW2+EH2+BQ2+DX2,0)</f>
        <v>6.23</v>
      </c>
      <c r="BT2" s="307">
        <f t="shared" ref="BT2:BT11" si="71">IFERROR(BS2/K2,0)</f>
        <v>1.5575000000000001</v>
      </c>
      <c r="BU2" s="309">
        <f t="shared" ref="BU2:BU11" si="72">FB2</f>
        <v>2</v>
      </c>
      <c r="BV2" s="310">
        <f t="shared" ref="BV2:BV11" si="73">IFERROR(BU2/K2,0)</f>
        <v>0.5</v>
      </c>
      <c r="BW2" s="56">
        <f t="shared" ref="BW2:BW11" si="74">EQ2</f>
        <v>0</v>
      </c>
      <c r="BX2" s="57">
        <f t="shared" ref="BX2:BX11" si="75">IFERROR(BW2/K2,0)</f>
        <v>0</v>
      </c>
      <c r="BY2" s="306">
        <f t="shared" ref="BY2:BY11" si="76">DS2</f>
        <v>0</v>
      </c>
      <c r="BZ2" s="307">
        <f t="shared" ref="BZ2:BZ11" si="77">IFERROR(BY2/K2,0)</f>
        <v>0</v>
      </c>
      <c r="CA2" s="56">
        <f t="shared" ref="CA2:CA11" si="78">IFERROR(EF2+FB2+EJ2+DX2+EX2+EH2+AG2+EQ2+ES2+EV2+EZ2+EY2+ED2,0)</f>
        <v>280</v>
      </c>
      <c r="CB2" s="57">
        <f t="shared" ref="CB2:CB11" si="79">IFERROR(CA2/K2,0)</f>
        <v>70</v>
      </c>
      <c r="CC2" s="56">
        <f t="shared" ref="CC2:CC11" si="80">EC2</f>
        <v>9</v>
      </c>
      <c r="CD2" s="57">
        <f t="shared" ref="CD2:CD11" si="81">CC2/K2</f>
        <v>2.25</v>
      </c>
      <c r="CE2" s="56">
        <f t="shared" ref="CE2:CE11" si="82">ED2</f>
        <v>8</v>
      </c>
      <c r="CF2" s="57">
        <f t="shared" ref="CF2:CF11" si="83">CE2/K2</f>
        <v>2</v>
      </c>
      <c r="CG2" s="63">
        <f t="shared" ref="CG2:CG11" si="84">IFERROR((ED2*1)/EC2,0)</f>
        <v>0.88888888888888884</v>
      </c>
      <c r="CH2" s="210">
        <f t="shared" ref="CH2:CH11" si="85">IFERROR((CI2*K2),0)</f>
        <v>0</v>
      </c>
      <c r="CI2" s="209">
        <f t="shared" ref="CI2:CI11" si="86">IFERROR(EE2,0)</f>
        <v>0</v>
      </c>
      <c r="CJ2" s="302">
        <f t="shared" ref="CJ2:CJ11" si="87">IFERROR((EQ2*0.5)+EP2+ES2+CH2,0)</f>
        <v>21</v>
      </c>
      <c r="CK2" s="303">
        <f t="shared" ref="CK2:CK11" si="88">IFERROR(CJ2/K2,0)</f>
        <v>5.25</v>
      </c>
      <c r="CL2" s="56">
        <f t="shared" ref="CL2:CL11" si="89">IFERROR(EV2+FB2+EJ2+DX2+EH2,0)</f>
        <v>19</v>
      </c>
      <c r="CM2" s="56">
        <f t="shared" ref="CM2:CM11" si="90">IFERROR(EW2+(EH2+(EH2*0.5))+EK2+FB2+DX2,0)</f>
        <v>9</v>
      </c>
      <c r="CN2" s="57">
        <f t="shared" ref="CN2:CN11" si="91">IFERROR(CM2/K2,0)</f>
        <v>2.25</v>
      </c>
      <c r="CO2" s="63">
        <f t="shared" ref="CO2:CO11" si="92">IFERROR((CM2*1)/CL2,0)</f>
        <v>0.47368421052631576</v>
      </c>
      <c r="CP2" s="56">
        <f t="shared" ref="CP2:CP11" si="93">IFERROR((DS2*3)+(DV2*1.33)+(DW2*2)+EC2+EO2+ES2+EU2+ER2+ET2+EN2,0)</f>
        <v>49.33</v>
      </c>
      <c r="CQ2" s="57">
        <f t="shared" ref="CQ2:CQ11" si="94">IFERROR(CP2/K2,0)</f>
        <v>12.3325</v>
      </c>
      <c r="CR2" s="56">
        <f t="shared" ref="CR2:CR11" si="95">IFERROR(ED2+EP2+ES2+EU2+ER2+ET2+EQ2+(CH2*0.5),0)</f>
        <v>44</v>
      </c>
      <c r="CS2" s="209">
        <f t="shared" ref="CS2:CS11" si="96">IFERROR(CR2/K2,0)</f>
        <v>11</v>
      </c>
      <c r="CT2" s="210">
        <f>IFERROR((DS2*3)+(DV2*1.25)+(DW2*2)+EN2+AZ2,0)</f>
        <v>42.25</v>
      </c>
      <c r="CU2" s="209">
        <f t="shared" ref="CU2:CU11" si="97">IFERROR((CT2/K2),0)</f>
        <v>10.5625</v>
      </c>
      <c r="CV2" s="63">
        <f t="shared" ref="CV2:CV11" si="98">IFERROR(CR2/CP2,0)</f>
        <v>0.8919521589296574</v>
      </c>
      <c r="CW2" s="63">
        <f t="shared" ref="CW2:CW11" si="99">IFERROR(((CR2+CM2)*1)/(CL2+CP2),0)</f>
        <v>0.77564759256549098</v>
      </c>
      <c r="CX2" s="181">
        <f t="shared" ref="CX2:CX11" si="100">IFERROR(VALUE(SUBSTITUTE(FC2, " km", "")),0)</f>
        <v>46.2</v>
      </c>
      <c r="CY2" s="182">
        <f t="shared" ref="CY2:CY11" si="101">IFERROR(CX2/K2,0)</f>
        <v>11.55</v>
      </c>
      <c r="CZ2" s="183">
        <f t="shared" ref="CZ2:CZ11" si="102">IFERROR((DA2*K2),0)</f>
        <v>52</v>
      </c>
      <c r="DA2" s="182">
        <f t="shared" ref="DA2:DA11" si="103">DZ2</f>
        <v>13</v>
      </c>
      <c r="DB2" s="183">
        <f t="shared" ref="DB2:DB11" si="104">IFERROR((EC2-ED2)+(EF2-EG2)+(EV2-EW2),0)</f>
        <v>39</v>
      </c>
      <c r="DC2" s="182">
        <f t="shared" ref="DC2:DC11" si="105">IFERROR(DB2/K2,0)</f>
        <v>9.75</v>
      </c>
      <c r="DD2" s="182">
        <f t="shared" ref="DD2:DD11" si="106">DY2</f>
        <v>9.1999999999999993</v>
      </c>
      <c r="DE2" s="62">
        <f t="shared" ref="DE2:DE11" si="107">IFERROR(VALUE(SUBSTITUTE(FD2, ".", ",")),0)</f>
        <v>7.1</v>
      </c>
      <c r="DF2" s="296"/>
      <c r="DG2" s="292" t="s">
        <v>885</v>
      </c>
      <c r="DH2" s="292" t="s">
        <v>575</v>
      </c>
      <c r="DI2" s="292">
        <v>32</v>
      </c>
      <c r="DJ2" s="393">
        <v>0</v>
      </c>
      <c r="DK2" s="292" t="s">
        <v>855</v>
      </c>
      <c r="DL2" s="292" t="s">
        <v>13</v>
      </c>
      <c r="DM2" s="292" t="s">
        <v>790</v>
      </c>
      <c r="DN2" s="293">
        <v>46173</v>
      </c>
      <c r="DO2" s="292" t="s">
        <v>886</v>
      </c>
      <c r="DP2" s="292">
        <v>360</v>
      </c>
      <c r="DQ2" s="292">
        <v>4</v>
      </c>
      <c r="DR2" s="292">
        <v>0</v>
      </c>
      <c r="DS2" s="292">
        <v>0</v>
      </c>
      <c r="DT2" s="292">
        <v>0</v>
      </c>
      <c r="DU2" s="292">
        <v>0</v>
      </c>
      <c r="DV2" s="292">
        <v>1</v>
      </c>
      <c r="DW2" s="292">
        <v>0</v>
      </c>
      <c r="DX2" s="292">
        <v>0</v>
      </c>
      <c r="DY2" s="292">
        <v>9.1999999999999993</v>
      </c>
      <c r="DZ2" s="292">
        <v>13</v>
      </c>
      <c r="EA2" s="292" t="s">
        <v>861</v>
      </c>
      <c r="EB2" s="292" t="s">
        <v>868</v>
      </c>
      <c r="EC2" s="292">
        <v>9</v>
      </c>
      <c r="ED2" s="292">
        <v>8</v>
      </c>
      <c r="EE2" s="292">
        <v>0</v>
      </c>
      <c r="EF2" s="292">
        <v>229</v>
      </c>
      <c r="EG2" s="292">
        <v>201</v>
      </c>
      <c r="EH2" s="292">
        <v>2</v>
      </c>
      <c r="EI2" s="292">
        <v>28</v>
      </c>
      <c r="EJ2" s="292">
        <v>1</v>
      </c>
      <c r="EK2" s="292">
        <v>0</v>
      </c>
      <c r="EL2" s="292">
        <v>24</v>
      </c>
      <c r="EM2" s="292">
        <v>5</v>
      </c>
      <c r="EN2" s="292">
        <v>3</v>
      </c>
      <c r="EO2" s="292">
        <v>5</v>
      </c>
      <c r="EP2" s="292">
        <v>5</v>
      </c>
      <c r="EQ2" s="292">
        <v>0</v>
      </c>
      <c r="ER2" s="292">
        <v>4</v>
      </c>
      <c r="ES2" s="292">
        <v>16</v>
      </c>
      <c r="ET2" s="292">
        <v>6</v>
      </c>
      <c r="EU2" s="292">
        <v>5</v>
      </c>
      <c r="EV2" s="292">
        <v>14</v>
      </c>
      <c r="EW2" s="292">
        <v>4</v>
      </c>
      <c r="EX2" s="292">
        <v>0</v>
      </c>
      <c r="EY2" s="292">
        <v>0</v>
      </c>
      <c r="EZ2" s="292">
        <v>0</v>
      </c>
      <c r="FA2" s="292">
        <v>0</v>
      </c>
      <c r="FB2" s="292">
        <v>2</v>
      </c>
      <c r="FC2" s="292" t="s">
        <v>887</v>
      </c>
      <c r="FD2" s="297">
        <v>7.1</v>
      </c>
    </row>
    <row r="3" spans="1:160" ht="24.95" customHeight="1" thickBot="1" x14ac:dyDescent="0.3">
      <c r="A3" s="29" t="str">
        <f t="shared" si="0"/>
        <v>2º</v>
      </c>
      <c r="B3" s="70" t="str">
        <f t="shared" si="1"/>
        <v>Jefinho</v>
      </c>
      <c r="C3" s="86" t="str">
        <f t="shared" si="2"/>
        <v>BRA</v>
      </c>
      <c r="D3" s="99" t="str">
        <f t="shared" si="3"/>
        <v>Pé Esquerdo</v>
      </c>
      <c r="E3" s="65" t="str">
        <f t="shared" si="4"/>
        <v>Atlético Gloriense</v>
      </c>
      <c r="F3" s="166">
        <f t="shared" si="5"/>
        <v>1.77</v>
      </c>
      <c r="G3" s="168">
        <f t="shared" si="6"/>
        <v>24</v>
      </c>
      <c r="H3" s="304" t="str">
        <f t="shared" si="7"/>
        <v>€1,2m p/m</v>
      </c>
      <c r="I3" s="66">
        <f t="shared" si="8"/>
        <v>0</v>
      </c>
      <c r="J3" s="96">
        <f t="shared" si="9"/>
        <v>3.9299999999999997</v>
      </c>
      <c r="K3" s="146">
        <f t="shared" si="10"/>
        <v>3.6888888888888891</v>
      </c>
      <c r="L3" s="188">
        <f t="shared" si="11"/>
        <v>4</v>
      </c>
      <c r="M3" s="188">
        <f t="shared" si="12"/>
        <v>83</v>
      </c>
      <c r="N3" s="189">
        <f t="shared" si="13"/>
        <v>1</v>
      </c>
      <c r="O3" s="55">
        <f t="shared" si="14"/>
        <v>1</v>
      </c>
      <c r="P3" s="55">
        <f t="shared" si="15"/>
        <v>0</v>
      </c>
      <c r="Q3" s="55">
        <f t="shared" si="16"/>
        <v>1</v>
      </c>
      <c r="R3" s="57">
        <f t="shared" si="17"/>
        <v>0.27108433734939757</v>
      </c>
      <c r="S3" s="56">
        <f t="shared" si="18"/>
        <v>1</v>
      </c>
      <c r="T3" s="63">
        <f t="shared" si="19"/>
        <v>0.27108433734939757</v>
      </c>
      <c r="U3" s="57">
        <f t="shared" si="20"/>
        <v>0.31</v>
      </c>
      <c r="V3" s="57">
        <f t="shared" si="21"/>
        <v>8.4036144578313252E-2</v>
      </c>
      <c r="W3" s="57">
        <f t="shared" si="22"/>
        <v>0.31</v>
      </c>
      <c r="X3" s="57">
        <f t="shared" si="23"/>
        <v>8.4036144578313252E-2</v>
      </c>
      <c r="Y3" s="57">
        <f t="shared" si="24"/>
        <v>0.08</v>
      </c>
      <c r="Z3" s="57">
        <f t="shared" si="25"/>
        <v>2.1686746987951807E-2</v>
      </c>
      <c r="AA3" s="57">
        <f t="shared" si="26"/>
        <v>0.39</v>
      </c>
      <c r="AB3" s="57">
        <f t="shared" si="27"/>
        <v>0.10572289156626506</v>
      </c>
      <c r="AC3" s="56">
        <f t="shared" si="28"/>
        <v>0</v>
      </c>
      <c r="AD3" s="56">
        <f t="shared" si="29"/>
        <v>0</v>
      </c>
      <c r="AE3" s="56">
        <f t="shared" si="30"/>
        <v>0</v>
      </c>
      <c r="AF3" s="60">
        <f t="shared" si="31"/>
        <v>9.9999999999999995E-8</v>
      </c>
      <c r="AG3" s="56">
        <f t="shared" si="32"/>
        <v>11</v>
      </c>
      <c r="AH3" s="57">
        <f t="shared" si="33"/>
        <v>2.9819277108433733</v>
      </c>
      <c r="AI3" s="55">
        <f t="shared" si="34"/>
        <v>7</v>
      </c>
      <c r="AJ3" s="57">
        <f t="shared" si="35"/>
        <v>1.897590361445783</v>
      </c>
      <c r="AK3" s="56">
        <f t="shared" si="36"/>
        <v>0</v>
      </c>
      <c r="AL3" s="57">
        <f t="shared" si="37"/>
        <v>0</v>
      </c>
      <c r="AM3" s="114">
        <f t="shared" si="38"/>
        <v>0.63636363636363635</v>
      </c>
      <c r="AN3" s="56">
        <f t="shared" si="39"/>
        <v>4</v>
      </c>
      <c r="AO3" s="57">
        <f t="shared" si="40"/>
        <v>1.0843373493975903</v>
      </c>
      <c r="AP3" s="56">
        <f t="shared" si="41"/>
        <v>31</v>
      </c>
      <c r="AQ3" s="57">
        <f t="shared" si="42"/>
        <v>8.4036144578313241</v>
      </c>
      <c r="AR3" s="56">
        <f t="shared" si="43"/>
        <v>14</v>
      </c>
      <c r="AS3" s="57">
        <f t="shared" si="44"/>
        <v>3.7951807228915659</v>
      </c>
      <c r="AT3" s="60">
        <f t="shared" si="45"/>
        <v>0.45161290322580644</v>
      </c>
      <c r="AU3" s="61">
        <f t="shared" si="46"/>
        <v>213</v>
      </c>
      <c r="AV3" s="62">
        <f t="shared" si="47"/>
        <v>57.740963855421683</v>
      </c>
      <c r="AW3" s="61">
        <f t="shared" si="48"/>
        <v>180</v>
      </c>
      <c r="AX3" s="62">
        <f t="shared" si="49"/>
        <v>48.795180722891565</v>
      </c>
      <c r="AY3" s="63">
        <f t="shared" si="50"/>
        <v>0.84507042253521125</v>
      </c>
      <c r="AZ3" s="61">
        <f t="shared" si="51"/>
        <v>47</v>
      </c>
      <c r="BA3" s="57">
        <f t="shared" si="52"/>
        <v>12.740963855421686</v>
      </c>
      <c r="BB3" s="57">
        <f t="shared" si="53"/>
        <v>6.4545454545454541</v>
      </c>
      <c r="BC3" s="56">
        <f t="shared" si="54"/>
        <v>186</v>
      </c>
      <c r="BD3" s="57">
        <f t="shared" si="55"/>
        <v>50.421686746987952</v>
      </c>
      <c r="BE3" s="56">
        <f t="shared" si="56"/>
        <v>27</v>
      </c>
      <c r="BF3" s="57">
        <f t="shared" si="57"/>
        <v>7.3192771084337345</v>
      </c>
      <c r="BG3" s="305">
        <f t="shared" si="58"/>
        <v>0.14516129032258066</v>
      </c>
      <c r="BH3" s="56">
        <f t="shared" si="59"/>
        <v>16</v>
      </c>
      <c r="BI3" s="57">
        <f t="shared" si="60"/>
        <v>4.3373493975903612</v>
      </c>
      <c r="BJ3" s="56">
        <f t="shared" si="61"/>
        <v>2</v>
      </c>
      <c r="BK3" s="57">
        <f t="shared" si="62"/>
        <v>0.54216867469879515</v>
      </c>
      <c r="BL3" s="59">
        <f t="shared" si="63"/>
        <v>0.125</v>
      </c>
      <c r="BM3" s="56">
        <f t="shared" si="64"/>
        <v>6</v>
      </c>
      <c r="BN3" s="57">
        <f t="shared" si="65"/>
        <v>1.6265060240963853</v>
      </c>
      <c r="BO3" s="57">
        <f t="shared" si="66"/>
        <v>41.5</v>
      </c>
      <c r="BP3" s="57">
        <f t="shared" si="67"/>
        <v>55.333333333333336</v>
      </c>
      <c r="BQ3" s="57">
        <f t="shared" si="68"/>
        <v>0.08</v>
      </c>
      <c r="BR3" s="57">
        <f t="shared" si="69"/>
        <v>0.08</v>
      </c>
      <c r="BS3" s="306">
        <f t="shared" si="70"/>
        <v>9.08</v>
      </c>
      <c r="BT3" s="307">
        <f t="shared" si="71"/>
        <v>2.4614457831325298</v>
      </c>
      <c r="BU3" s="309">
        <f t="shared" si="72"/>
        <v>1</v>
      </c>
      <c r="BV3" s="310">
        <f t="shared" si="73"/>
        <v>0.27108433734939757</v>
      </c>
      <c r="BW3" s="56">
        <f t="shared" si="74"/>
        <v>0</v>
      </c>
      <c r="BX3" s="57">
        <f t="shared" si="75"/>
        <v>0</v>
      </c>
      <c r="BY3" s="306">
        <f t="shared" si="76"/>
        <v>0</v>
      </c>
      <c r="BZ3" s="307">
        <f t="shared" si="77"/>
        <v>0</v>
      </c>
      <c r="CA3" s="56">
        <f t="shared" si="78"/>
        <v>281</v>
      </c>
      <c r="CB3" s="57">
        <f t="shared" si="79"/>
        <v>76.174698795180717</v>
      </c>
      <c r="CC3" s="56">
        <f t="shared" si="80"/>
        <v>15</v>
      </c>
      <c r="CD3" s="57">
        <f t="shared" si="81"/>
        <v>4.0662650602409638</v>
      </c>
      <c r="CE3" s="56">
        <f t="shared" si="82"/>
        <v>11</v>
      </c>
      <c r="CF3" s="57">
        <f t="shared" si="83"/>
        <v>2.9819277108433733</v>
      </c>
      <c r="CG3" s="63">
        <f t="shared" si="84"/>
        <v>0.73333333333333328</v>
      </c>
      <c r="CH3" s="210">
        <f t="shared" si="85"/>
        <v>2.9511111111111115</v>
      </c>
      <c r="CI3" s="209">
        <f t="shared" si="86"/>
        <v>0.8</v>
      </c>
      <c r="CJ3" s="302">
        <f t="shared" si="87"/>
        <v>25.951111111111111</v>
      </c>
      <c r="CK3" s="303">
        <f t="shared" si="88"/>
        <v>7.0349397590361438</v>
      </c>
      <c r="CL3" s="56">
        <f t="shared" si="89"/>
        <v>28</v>
      </c>
      <c r="CM3" s="56">
        <f t="shared" si="90"/>
        <v>14</v>
      </c>
      <c r="CN3" s="57">
        <f t="shared" si="91"/>
        <v>3.7951807228915659</v>
      </c>
      <c r="CO3" s="63">
        <f t="shared" si="92"/>
        <v>0.5</v>
      </c>
      <c r="CP3" s="56">
        <f t="shared" si="93"/>
        <v>53</v>
      </c>
      <c r="CQ3" s="57">
        <f t="shared" si="94"/>
        <v>14.367469879518071</v>
      </c>
      <c r="CR3" s="56">
        <f t="shared" si="95"/>
        <v>46.475555555555559</v>
      </c>
      <c r="CS3" s="209">
        <f t="shared" si="96"/>
        <v>12.598795180722892</v>
      </c>
      <c r="CT3" s="210">
        <f t="shared" ref="CT3:CT11" si="108">IFERROR((DS3*3)+(DV3*1.25)+(DW3*2)+EN3+AZ3,0)</f>
        <v>51</v>
      </c>
      <c r="CU3" s="209">
        <f t="shared" si="97"/>
        <v>13.825301204819276</v>
      </c>
      <c r="CV3" s="63">
        <f t="shared" si="98"/>
        <v>0.87689727463312372</v>
      </c>
      <c r="CW3" s="63">
        <f t="shared" si="99"/>
        <v>0.7466117969821674</v>
      </c>
      <c r="CX3" s="181">
        <f t="shared" si="100"/>
        <v>35.1</v>
      </c>
      <c r="CY3" s="182">
        <f t="shared" si="101"/>
        <v>9.5150602409638552</v>
      </c>
      <c r="CZ3" s="183">
        <f t="shared" si="102"/>
        <v>32.093333333333334</v>
      </c>
      <c r="DA3" s="182">
        <f t="shared" si="103"/>
        <v>8.6999999999999993</v>
      </c>
      <c r="DB3" s="183">
        <f t="shared" si="104"/>
        <v>51</v>
      </c>
      <c r="DC3" s="182">
        <f t="shared" si="105"/>
        <v>13.825301204819276</v>
      </c>
      <c r="DD3" s="182">
        <f t="shared" si="106"/>
        <v>18.399999999999999</v>
      </c>
      <c r="DE3" s="62">
        <f t="shared" si="107"/>
        <v>7.1</v>
      </c>
      <c r="DF3" s="298" t="s">
        <v>872</v>
      </c>
      <c r="DG3" s="294" t="s">
        <v>907</v>
      </c>
      <c r="DH3" s="294" t="s">
        <v>636</v>
      </c>
      <c r="DI3" s="294">
        <v>24</v>
      </c>
      <c r="DJ3" s="392">
        <v>0</v>
      </c>
      <c r="DK3" s="294" t="s">
        <v>855</v>
      </c>
      <c r="DL3" s="294" t="s">
        <v>13</v>
      </c>
      <c r="DM3" s="294" t="s">
        <v>607</v>
      </c>
      <c r="DN3" s="295">
        <v>46173</v>
      </c>
      <c r="DO3" s="294" t="s">
        <v>908</v>
      </c>
      <c r="DP3" s="294">
        <v>332</v>
      </c>
      <c r="DQ3" s="294">
        <v>4</v>
      </c>
      <c r="DR3" s="294">
        <v>1</v>
      </c>
      <c r="DS3" s="294">
        <v>0</v>
      </c>
      <c r="DT3" s="294">
        <v>1</v>
      </c>
      <c r="DU3" s="294">
        <v>0</v>
      </c>
      <c r="DV3" s="294">
        <v>0</v>
      </c>
      <c r="DW3" s="294">
        <v>0</v>
      </c>
      <c r="DX3" s="294">
        <v>1</v>
      </c>
      <c r="DY3" s="294">
        <v>18.399999999999999</v>
      </c>
      <c r="DZ3" s="294">
        <v>8.6999999999999993</v>
      </c>
      <c r="EA3" s="294" t="s">
        <v>826</v>
      </c>
      <c r="EB3" s="294" t="s">
        <v>859</v>
      </c>
      <c r="EC3" s="294">
        <v>15</v>
      </c>
      <c r="ED3" s="294">
        <v>11</v>
      </c>
      <c r="EE3" s="294">
        <v>0.8</v>
      </c>
      <c r="EF3" s="294">
        <v>213</v>
      </c>
      <c r="EG3" s="294">
        <v>180</v>
      </c>
      <c r="EH3" s="294">
        <v>6</v>
      </c>
      <c r="EI3" s="294">
        <v>27</v>
      </c>
      <c r="EJ3" s="294">
        <v>4</v>
      </c>
      <c r="EK3" s="294">
        <v>1</v>
      </c>
      <c r="EL3" s="294">
        <v>20</v>
      </c>
      <c r="EM3" s="294">
        <v>7</v>
      </c>
      <c r="EN3" s="294">
        <v>4</v>
      </c>
      <c r="EO3" s="294">
        <v>7</v>
      </c>
      <c r="EP3" s="294">
        <v>7</v>
      </c>
      <c r="EQ3" s="294">
        <v>0</v>
      </c>
      <c r="ER3" s="294">
        <v>0</v>
      </c>
      <c r="ES3" s="294">
        <v>16</v>
      </c>
      <c r="ET3" s="294">
        <v>6</v>
      </c>
      <c r="EU3" s="294">
        <v>5</v>
      </c>
      <c r="EV3" s="294">
        <v>16</v>
      </c>
      <c r="EW3" s="294">
        <v>2</v>
      </c>
      <c r="EX3" s="294">
        <v>2</v>
      </c>
      <c r="EY3" s="294">
        <v>0</v>
      </c>
      <c r="EZ3" s="294">
        <v>0</v>
      </c>
      <c r="FA3" s="294">
        <v>0</v>
      </c>
      <c r="FB3" s="294">
        <v>1</v>
      </c>
      <c r="FC3" s="294" t="s">
        <v>909</v>
      </c>
      <c r="FD3" s="299">
        <v>7.1</v>
      </c>
    </row>
    <row r="4" spans="1:160" ht="24.95" customHeight="1" thickBot="1" x14ac:dyDescent="0.3">
      <c r="A4" s="29" t="str">
        <f t="shared" si="0"/>
        <v>3º</v>
      </c>
      <c r="B4" s="70" t="str">
        <f t="shared" si="1"/>
        <v>Enzo Faria</v>
      </c>
      <c r="C4" s="86" t="str">
        <f t="shared" si="2"/>
        <v>BRA</v>
      </c>
      <c r="D4" s="99" t="str">
        <f t="shared" si="3"/>
        <v>Pé Esquerdo</v>
      </c>
      <c r="E4" s="65" t="str">
        <f t="shared" si="4"/>
        <v>Araçatuba</v>
      </c>
      <c r="F4" s="166">
        <f t="shared" si="5"/>
        <v>1.88</v>
      </c>
      <c r="G4" s="168">
        <f t="shared" si="6"/>
        <v>22</v>
      </c>
      <c r="H4" s="304" t="str">
        <f t="shared" si="7"/>
        <v>€1,2m p/m</v>
      </c>
      <c r="I4" s="66">
        <f t="shared" si="8"/>
        <v>0</v>
      </c>
      <c r="J4" s="96">
        <f t="shared" si="9"/>
        <v>3.9299999999999997</v>
      </c>
      <c r="K4" s="146">
        <f t="shared" si="10"/>
        <v>3.8777777777777778</v>
      </c>
      <c r="L4" s="188">
        <f t="shared" si="11"/>
        <v>4</v>
      </c>
      <c r="M4" s="188">
        <f t="shared" si="12"/>
        <v>87.25</v>
      </c>
      <c r="N4" s="189">
        <f t="shared" si="13"/>
        <v>1</v>
      </c>
      <c r="O4" s="55">
        <f t="shared" si="14"/>
        <v>0</v>
      </c>
      <c r="P4" s="55">
        <f t="shared" si="15"/>
        <v>0</v>
      </c>
      <c r="Q4" s="55">
        <f t="shared" si="16"/>
        <v>0</v>
      </c>
      <c r="R4" s="57">
        <f t="shared" si="17"/>
        <v>0</v>
      </c>
      <c r="S4" s="56">
        <f t="shared" si="18"/>
        <v>0</v>
      </c>
      <c r="T4" s="63">
        <f t="shared" si="19"/>
        <v>0</v>
      </c>
      <c r="U4" s="57">
        <f t="shared" si="20"/>
        <v>0.22</v>
      </c>
      <c r="V4" s="57">
        <f t="shared" si="21"/>
        <v>5.6733524355300859E-2</v>
      </c>
      <c r="W4" s="57">
        <f t="shared" si="22"/>
        <v>0.22</v>
      </c>
      <c r="X4" s="57">
        <f t="shared" si="23"/>
        <v>5.6733524355300859E-2</v>
      </c>
      <c r="Y4" s="57">
        <f t="shared" si="24"/>
        <v>0.1</v>
      </c>
      <c r="Z4" s="57">
        <f t="shared" si="25"/>
        <v>2.5787965616045846E-2</v>
      </c>
      <c r="AA4" s="57">
        <f t="shared" si="26"/>
        <v>0.32</v>
      </c>
      <c r="AB4" s="57">
        <f t="shared" si="27"/>
        <v>8.2521489971346701E-2</v>
      </c>
      <c r="AC4" s="56">
        <f t="shared" si="28"/>
        <v>0</v>
      </c>
      <c r="AD4" s="56">
        <f t="shared" si="29"/>
        <v>0</v>
      </c>
      <c r="AE4" s="56">
        <f t="shared" si="30"/>
        <v>0</v>
      </c>
      <c r="AF4" s="60">
        <f t="shared" si="31"/>
        <v>9.9999999999999995E-8</v>
      </c>
      <c r="AG4" s="56">
        <f t="shared" si="32"/>
        <v>8</v>
      </c>
      <c r="AH4" s="57">
        <f t="shared" si="33"/>
        <v>2.0630372492836675</v>
      </c>
      <c r="AI4" s="55">
        <f t="shared" si="34"/>
        <v>5</v>
      </c>
      <c r="AJ4" s="57">
        <f t="shared" si="35"/>
        <v>1.2893982808022924</v>
      </c>
      <c r="AK4" s="56">
        <f t="shared" si="36"/>
        <v>1</v>
      </c>
      <c r="AL4" s="57">
        <f t="shared" si="37"/>
        <v>0.25787965616045844</v>
      </c>
      <c r="AM4" s="114">
        <f t="shared" si="38"/>
        <v>0.625</v>
      </c>
      <c r="AN4" s="56">
        <f t="shared" si="39"/>
        <v>2</v>
      </c>
      <c r="AO4" s="57">
        <f t="shared" si="40"/>
        <v>0.51575931232091687</v>
      </c>
      <c r="AP4" s="56">
        <f t="shared" si="41"/>
        <v>23</v>
      </c>
      <c r="AQ4" s="57">
        <f t="shared" si="42"/>
        <v>5.9312320916905446</v>
      </c>
      <c r="AR4" s="56">
        <f t="shared" si="43"/>
        <v>11</v>
      </c>
      <c r="AS4" s="57">
        <f t="shared" si="44"/>
        <v>2.8366762177650431</v>
      </c>
      <c r="AT4" s="60">
        <f t="shared" si="45"/>
        <v>0.47826086956521741</v>
      </c>
      <c r="AU4" s="61">
        <f t="shared" si="46"/>
        <v>180</v>
      </c>
      <c r="AV4" s="62">
        <f t="shared" si="47"/>
        <v>46.418338108882523</v>
      </c>
      <c r="AW4" s="61">
        <f t="shared" si="48"/>
        <v>156</v>
      </c>
      <c r="AX4" s="62">
        <f t="shared" si="49"/>
        <v>40.229226361031522</v>
      </c>
      <c r="AY4" s="63">
        <f t="shared" si="50"/>
        <v>0.8666666666666667</v>
      </c>
      <c r="AZ4" s="61">
        <f t="shared" si="51"/>
        <v>34</v>
      </c>
      <c r="BA4" s="57">
        <f t="shared" si="52"/>
        <v>8.7679083094555867</v>
      </c>
      <c r="BB4" s="57">
        <f t="shared" si="53"/>
        <v>7.5</v>
      </c>
      <c r="BC4" s="56">
        <f t="shared" si="54"/>
        <v>161</v>
      </c>
      <c r="BD4" s="57">
        <f t="shared" si="55"/>
        <v>41.51862464183381</v>
      </c>
      <c r="BE4" s="56">
        <f t="shared" si="56"/>
        <v>19</v>
      </c>
      <c r="BF4" s="57">
        <f t="shared" si="57"/>
        <v>4.899713467048711</v>
      </c>
      <c r="BG4" s="305">
        <f t="shared" si="58"/>
        <v>0.11801242236024845</v>
      </c>
      <c r="BH4" s="56">
        <f t="shared" si="59"/>
        <v>12</v>
      </c>
      <c r="BI4" s="57">
        <f t="shared" si="60"/>
        <v>3.0945558739255015</v>
      </c>
      <c r="BJ4" s="56">
        <f t="shared" si="61"/>
        <v>2</v>
      </c>
      <c r="BK4" s="57">
        <f t="shared" si="62"/>
        <v>0.51575931232091687</v>
      </c>
      <c r="BL4" s="59">
        <f t="shared" si="63"/>
        <v>0.16666666666666666</v>
      </c>
      <c r="BM4" s="56">
        <f t="shared" si="64"/>
        <v>5</v>
      </c>
      <c r="BN4" s="57">
        <f t="shared" si="65"/>
        <v>1.2893982808022924</v>
      </c>
      <c r="BO4" s="57">
        <f t="shared" si="66"/>
        <v>58.166666666666664</v>
      </c>
      <c r="BP4" s="57">
        <f t="shared" si="67"/>
        <v>69.8</v>
      </c>
      <c r="BQ4" s="57">
        <f t="shared" si="68"/>
        <v>0.1</v>
      </c>
      <c r="BR4" s="57">
        <f t="shared" si="69"/>
        <v>0.1</v>
      </c>
      <c r="BS4" s="306">
        <f t="shared" si="70"/>
        <v>8.1</v>
      </c>
      <c r="BT4" s="307">
        <f t="shared" si="71"/>
        <v>2.0888252148997135</v>
      </c>
      <c r="BU4" s="309">
        <f t="shared" si="72"/>
        <v>2</v>
      </c>
      <c r="BV4" s="310">
        <f t="shared" si="73"/>
        <v>0.51575931232091687</v>
      </c>
      <c r="BW4" s="56">
        <f t="shared" si="74"/>
        <v>0</v>
      </c>
      <c r="BX4" s="57">
        <f t="shared" si="75"/>
        <v>0</v>
      </c>
      <c r="BY4" s="306">
        <f t="shared" si="76"/>
        <v>0</v>
      </c>
      <c r="BZ4" s="307">
        <f t="shared" si="77"/>
        <v>0</v>
      </c>
      <c r="CA4" s="56">
        <f t="shared" si="78"/>
        <v>233</v>
      </c>
      <c r="CB4" s="57">
        <f t="shared" si="79"/>
        <v>60.085959885386821</v>
      </c>
      <c r="CC4" s="56">
        <f t="shared" si="80"/>
        <v>22</v>
      </c>
      <c r="CD4" s="57">
        <f t="shared" si="81"/>
        <v>5.6733524355300862</v>
      </c>
      <c r="CE4" s="56">
        <f t="shared" si="82"/>
        <v>14</v>
      </c>
      <c r="CF4" s="57">
        <f t="shared" si="83"/>
        <v>3.6103151862464182</v>
      </c>
      <c r="CG4" s="63">
        <f t="shared" si="84"/>
        <v>0.63636363636363635</v>
      </c>
      <c r="CH4" s="210">
        <f t="shared" si="85"/>
        <v>5.8166666666666664</v>
      </c>
      <c r="CI4" s="209">
        <f t="shared" si="86"/>
        <v>1.5</v>
      </c>
      <c r="CJ4" s="302">
        <f t="shared" si="87"/>
        <v>19.816666666666666</v>
      </c>
      <c r="CK4" s="303">
        <f t="shared" si="88"/>
        <v>5.1103151862464182</v>
      </c>
      <c r="CL4" s="56">
        <f t="shared" si="89"/>
        <v>22</v>
      </c>
      <c r="CM4" s="56">
        <f t="shared" si="90"/>
        <v>12.5</v>
      </c>
      <c r="CN4" s="57">
        <f t="shared" si="91"/>
        <v>3.2234957020057307</v>
      </c>
      <c r="CO4" s="63">
        <f t="shared" si="92"/>
        <v>0.56818181818181823</v>
      </c>
      <c r="CP4" s="56">
        <f t="shared" si="93"/>
        <v>49</v>
      </c>
      <c r="CQ4" s="57">
        <f t="shared" si="94"/>
        <v>12.636103151862464</v>
      </c>
      <c r="CR4" s="56">
        <f t="shared" si="95"/>
        <v>40.908333333333331</v>
      </c>
      <c r="CS4" s="209">
        <f t="shared" si="96"/>
        <v>10.54942693409742</v>
      </c>
      <c r="CT4" s="210">
        <f t="shared" si="108"/>
        <v>36</v>
      </c>
      <c r="CU4" s="209">
        <f t="shared" si="97"/>
        <v>9.2836676217765035</v>
      </c>
      <c r="CV4" s="63">
        <f t="shared" si="98"/>
        <v>0.83486394557823129</v>
      </c>
      <c r="CW4" s="63">
        <f t="shared" si="99"/>
        <v>0.75223004694835682</v>
      </c>
      <c r="CX4" s="181">
        <f t="shared" si="100"/>
        <v>36.799999999999997</v>
      </c>
      <c r="CY4" s="182">
        <f t="shared" si="101"/>
        <v>9.4899713467048699</v>
      </c>
      <c r="CZ4" s="183">
        <f t="shared" si="102"/>
        <v>27.144444444444446</v>
      </c>
      <c r="DA4" s="182">
        <f t="shared" si="103"/>
        <v>7</v>
      </c>
      <c r="DB4" s="183">
        <f t="shared" si="104"/>
        <v>42</v>
      </c>
      <c r="DC4" s="182">
        <f t="shared" si="105"/>
        <v>10.830945558739256</v>
      </c>
      <c r="DD4" s="182">
        <f t="shared" si="106"/>
        <v>9.5</v>
      </c>
      <c r="DE4" s="62">
        <f t="shared" si="107"/>
        <v>7.13</v>
      </c>
      <c r="DF4" s="296" t="s">
        <v>19</v>
      </c>
      <c r="DG4" s="292" t="s">
        <v>898</v>
      </c>
      <c r="DH4" s="292" t="s">
        <v>657</v>
      </c>
      <c r="DI4" s="292">
        <v>22</v>
      </c>
      <c r="DJ4" s="393">
        <v>0</v>
      </c>
      <c r="DK4" s="292" t="s">
        <v>855</v>
      </c>
      <c r="DL4" s="292" t="s">
        <v>13</v>
      </c>
      <c r="DM4" s="292" t="s">
        <v>607</v>
      </c>
      <c r="DN4" s="293">
        <v>46167</v>
      </c>
      <c r="DO4" s="292" t="s">
        <v>899</v>
      </c>
      <c r="DP4" s="292">
        <v>349</v>
      </c>
      <c r="DQ4" s="292">
        <v>4</v>
      </c>
      <c r="DR4" s="292">
        <v>0</v>
      </c>
      <c r="DS4" s="292">
        <v>0</v>
      </c>
      <c r="DT4" s="292">
        <v>0</v>
      </c>
      <c r="DU4" s="292">
        <v>0</v>
      </c>
      <c r="DV4" s="292">
        <v>0</v>
      </c>
      <c r="DW4" s="292">
        <v>0</v>
      </c>
      <c r="DX4" s="292">
        <v>1</v>
      </c>
      <c r="DY4" s="292">
        <v>9.5</v>
      </c>
      <c r="DZ4" s="292">
        <v>7</v>
      </c>
      <c r="EA4" s="292" t="s">
        <v>873</v>
      </c>
      <c r="EB4" s="292" t="s">
        <v>900</v>
      </c>
      <c r="EC4" s="292">
        <v>22</v>
      </c>
      <c r="ED4" s="292">
        <v>14</v>
      </c>
      <c r="EE4" s="292">
        <v>1.5</v>
      </c>
      <c r="EF4" s="292">
        <v>180</v>
      </c>
      <c r="EG4" s="292">
        <v>156</v>
      </c>
      <c r="EH4" s="292">
        <v>5</v>
      </c>
      <c r="EI4" s="292">
        <v>19</v>
      </c>
      <c r="EJ4" s="292">
        <v>2</v>
      </c>
      <c r="EK4" s="292">
        <v>0</v>
      </c>
      <c r="EL4" s="292">
        <v>15</v>
      </c>
      <c r="EM4" s="292">
        <v>6</v>
      </c>
      <c r="EN4" s="292">
        <v>2</v>
      </c>
      <c r="EO4" s="292">
        <v>6</v>
      </c>
      <c r="EP4" s="292">
        <v>5</v>
      </c>
      <c r="EQ4" s="292">
        <v>0</v>
      </c>
      <c r="ER4" s="292">
        <v>0</v>
      </c>
      <c r="ES4" s="292">
        <v>9</v>
      </c>
      <c r="ET4" s="292">
        <v>4</v>
      </c>
      <c r="EU4" s="292">
        <v>6</v>
      </c>
      <c r="EV4" s="292">
        <v>12</v>
      </c>
      <c r="EW4" s="292">
        <v>2</v>
      </c>
      <c r="EX4" s="292">
        <v>0</v>
      </c>
      <c r="EY4" s="292">
        <v>0</v>
      </c>
      <c r="EZ4" s="292">
        <v>0</v>
      </c>
      <c r="FA4" s="292">
        <v>0</v>
      </c>
      <c r="FB4" s="292">
        <v>2</v>
      </c>
      <c r="FC4" s="292" t="s">
        <v>901</v>
      </c>
      <c r="FD4" s="297">
        <v>7.13</v>
      </c>
    </row>
    <row r="5" spans="1:160" ht="24.95" customHeight="1" thickBot="1" x14ac:dyDescent="0.3">
      <c r="A5" s="29" t="str">
        <f t="shared" si="0"/>
        <v>4º</v>
      </c>
      <c r="B5" s="70" t="str">
        <f t="shared" si="1"/>
        <v>Bruno Santos</v>
      </c>
      <c r="C5" s="86" t="str">
        <f t="shared" si="2"/>
        <v>BRA</v>
      </c>
      <c r="D5" s="99" t="str">
        <f t="shared" si="3"/>
        <v>Pé Esquerdo</v>
      </c>
      <c r="E5" s="65" t="str">
        <f t="shared" si="4"/>
        <v>XV de Jaú</v>
      </c>
      <c r="F5" s="166">
        <f t="shared" si="5"/>
        <v>1.75</v>
      </c>
      <c r="G5" s="168">
        <f t="shared" si="6"/>
        <v>38</v>
      </c>
      <c r="H5" s="304" t="str">
        <f t="shared" si="7"/>
        <v>€4,7m p/m</v>
      </c>
      <c r="I5" s="66">
        <f t="shared" si="8"/>
        <v>0</v>
      </c>
      <c r="J5" s="96">
        <f t="shared" si="9"/>
        <v>3.9299999999999997</v>
      </c>
      <c r="K5" s="146">
        <f t="shared" si="10"/>
        <v>3.9888888888888889</v>
      </c>
      <c r="L5" s="188">
        <f t="shared" si="11"/>
        <v>4</v>
      </c>
      <c r="M5" s="188">
        <f t="shared" si="12"/>
        <v>89.75</v>
      </c>
      <c r="N5" s="189">
        <f t="shared" si="13"/>
        <v>1</v>
      </c>
      <c r="O5" s="55">
        <f t="shared" si="14"/>
        <v>0</v>
      </c>
      <c r="P5" s="55">
        <f t="shared" si="15"/>
        <v>2</v>
      </c>
      <c r="Q5" s="55">
        <f t="shared" si="16"/>
        <v>2</v>
      </c>
      <c r="R5" s="57">
        <f t="shared" si="17"/>
        <v>0.50139275766016711</v>
      </c>
      <c r="S5" s="56">
        <f t="shared" si="18"/>
        <v>0</v>
      </c>
      <c r="T5" s="63">
        <f t="shared" si="19"/>
        <v>0</v>
      </c>
      <c r="U5" s="57">
        <f t="shared" si="20"/>
        <v>0.14000000000000001</v>
      </c>
      <c r="V5" s="57">
        <f t="shared" si="21"/>
        <v>3.5097493036211701E-2</v>
      </c>
      <c r="W5" s="57">
        <f t="shared" si="22"/>
        <v>0.14000000000000001</v>
      </c>
      <c r="X5" s="57">
        <f t="shared" si="23"/>
        <v>3.5097493036211701E-2</v>
      </c>
      <c r="Y5" s="57">
        <f t="shared" si="24"/>
        <v>0.44</v>
      </c>
      <c r="Z5" s="57">
        <f t="shared" si="25"/>
        <v>0.11030640668523677</v>
      </c>
      <c r="AA5" s="57">
        <f t="shared" si="26"/>
        <v>0.58000000000000007</v>
      </c>
      <c r="AB5" s="57">
        <f t="shared" si="27"/>
        <v>0.14540389972144849</v>
      </c>
      <c r="AC5" s="56">
        <f t="shared" si="28"/>
        <v>0</v>
      </c>
      <c r="AD5" s="56">
        <f t="shared" si="29"/>
        <v>0</v>
      </c>
      <c r="AE5" s="56">
        <f t="shared" si="30"/>
        <v>0</v>
      </c>
      <c r="AF5" s="60">
        <f t="shared" si="31"/>
        <v>9.9999999999999995E-8</v>
      </c>
      <c r="AG5" s="56">
        <f t="shared" si="32"/>
        <v>11</v>
      </c>
      <c r="AH5" s="57">
        <f t="shared" si="33"/>
        <v>2.7576601671309193</v>
      </c>
      <c r="AI5" s="55">
        <f t="shared" si="34"/>
        <v>5</v>
      </c>
      <c r="AJ5" s="57">
        <f t="shared" si="35"/>
        <v>1.2534818941504178</v>
      </c>
      <c r="AK5" s="56">
        <f t="shared" si="36"/>
        <v>2</v>
      </c>
      <c r="AL5" s="57">
        <f t="shared" si="37"/>
        <v>0.50139275766016711</v>
      </c>
      <c r="AM5" s="114">
        <f t="shared" si="38"/>
        <v>0.45454545454545453</v>
      </c>
      <c r="AN5" s="56">
        <f t="shared" si="39"/>
        <v>4</v>
      </c>
      <c r="AO5" s="57">
        <f t="shared" si="40"/>
        <v>1.0027855153203342</v>
      </c>
      <c r="AP5" s="56">
        <f t="shared" si="41"/>
        <v>39</v>
      </c>
      <c r="AQ5" s="57">
        <f t="shared" si="42"/>
        <v>9.7771587743732589</v>
      </c>
      <c r="AR5" s="56">
        <f t="shared" si="43"/>
        <v>14</v>
      </c>
      <c r="AS5" s="57">
        <f t="shared" si="44"/>
        <v>3.5097493036211698</v>
      </c>
      <c r="AT5" s="60">
        <f t="shared" si="45"/>
        <v>0.35897435897435898</v>
      </c>
      <c r="AU5" s="61">
        <f t="shared" si="46"/>
        <v>214</v>
      </c>
      <c r="AV5" s="62">
        <f t="shared" si="47"/>
        <v>53.649025069637879</v>
      </c>
      <c r="AW5" s="61">
        <f t="shared" si="48"/>
        <v>178</v>
      </c>
      <c r="AX5" s="62">
        <f t="shared" si="49"/>
        <v>44.623955431754872</v>
      </c>
      <c r="AY5" s="63">
        <f t="shared" si="50"/>
        <v>0.83177570093457942</v>
      </c>
      <c r="AZ5" s="61">
        <f t="shared" si="51"/>
        <v>53</v>
      </c>
      <c r="BA5" s="57">
        <f t="shared" si="52"/>
        <v>13.286908077994429</v>
      </c>
      <c r="BB5" s="57">
        <f t="shared" si="53"/>
        <v>5.9444444444444446</v>
      </c>
      <c r="BC5" s="56">
        <f t="shared" si="54"/>
        <v>192</v>
      </c>
      <c r="BD5" s="57">
        <f t="shared" si="55"/>
        <v>48.133704735376043</v>
      </c>
      <c r="BE5" s="56">
        <f t="shared" si="56"/>
        <v>22</v>
      </c>
      <c r="BF5" s="57">
        <f t="shared" si="57"/>
        <v>5.5153203342618387</v>
      </c>
      <c r="BG5" s="305">
        <f t="shared" si="58"/>
        <v>0.11458333333333333</v>
      </c>
      <c r="BH5" s="56">
        <f t="shared" si="59"/>
        <v>18</v>
      </c>
      <c r="BI5" s="57">
        <f t="shared" si="60"/>
        <v>4.5125348189415044</v>
      </c>
      <c r="BJ5" s="56">
        <f t="shared" si="61"/>
        <v>1</v>
      </c>
      <c r="BK5" s="57">
        <f t="shared" si="62"/>
        <v>0.25069637883008355</v>
      </c>
      <c r="BL5" s="59">
        <f t="shared" si="63"/>
        <v>5.5555555555555552E-2</v>
      </c>
      <c r="BM5" s="56">
        <f t="shared" si="64"/>
        <v>4</v>
      </c>
      <c r="BN5" s="57">
        <f t="shared" si="65"/>
        <v>1.0027855153203342</v>
      </c>
      <c r="BO5" s="57">
        <f t="shared" si="66"/>
        <v>71.8</v>
      </c>
      <c r="BP5" s="57">
        <f t="shared" si="67"/>
        <v>89.75</v>
      </c>
      <c r="BQ5" s="57">
        <f t="shared" si="68"/>
        <v>0.44</v>
      </c>
      <c r="BR5" s="57">
        <f t="shared" si="69"/>
        <v>-1.56</v>
      </c>
      <c r="BS5" s="306">
        <f t="shared" si="70"/>
        <v>6.44</v>
      </c>
      <c r="BT5" s="307">
        <f t="shared" si="71"/>
        <v>1.6144846796657382</v>
      </c>
      <c r="BU5" s="309">
        <f t="shared" si="72"/>
        <v>4</v>
      </c>
      <c r="BV5" s="310">
        <f t="shared" si="73"/>
        <v>1.0027855153203342</v>
      </c>
      <c r="BW5" s="56">
        <f t="shared" si="74"/>
        <v>1</v>
      </c>
      <c r="BX5" s="57">
        <f t="shared" si="75"/>
        <v>0.25069637883008355</v>
      </c>
      <c r="BY5" s="306">
        <f t="shared" si="76"/>
        <v>0</v>
      </c>
      <c r="BZ5" s="307">
        <f t="shared" si="77"/>
        <v>0</v>
      </c>
      <c r="CA5" s="56">
        <f t="shared" si="78"/>
        <v>279</v>
      </c>
      <c r="CB5" s="57">
        <f t="shared" si="79"/>
        <v>69.944289693593319</v>
      </c>
      <c r="CC5" s="56">
        <f t="shared" si="80"/>
        <v>14</v>
      </c>
      <c r="CD5" s="57">
        <f t="shared" si="81"/>
        <v>3.5097493036211698</v>
      </c>
      <c r="CE5" s="56">
        <f t="shared" si="82"/>
        <v>9</v>
      </c>
      <c r="CF5" s="57">
        <f t="shared" si="83"/>
        <v>2.2562674094707522</v>
      </c>
      <c r="CG5" s="63">
        <f t="shared" si="84"/>
        <v>0.6428571428571429</v>
      </c>
      <c r="CH5" s="210">
        <f t="shared" si="85"/>
        <v>1.1966666666666665</v>
      </c>
      <c r="CI5" s="209">
        <f t="shared" si="86"/>
        <v>0.3</v>
      </c>
      <c r="CJ5" s="302">
        <f t="shared" si="87"/>
        <v>22.696666666666665</v>
      </c>
      <c r="CK5" s="303">
        <f t="shared" si="88"/>
        <v>5.6899721448467959</v>
      </c>
      <c r="CL5" s="56">
        <f t="shared" si="89"/>
        <v>28</v>
      </c>
      <c r="CM5" s="56">
        <f t="shared" si="90"/>
        <v>12</v>
      </c>
      <c r="CN5" s="57">
        <f t="shared" si="91"/>
        <v>3.0083565459610027</v>
      </c>
      <c r="CO5" s="63">
        <f t="shared" si="92"/>
        <v>0.42857142857142855</v>
      </c>
      <c r="CP5" s="56">
        <f t="shared" si="93"/>
        <v>49</v>
      </c>
      <c r="CQ5" s="57">
        <f t="shared" si="94"/>
        <v>12.284122562674094</v>
      </c>
      <c r="CR5" s="56">
        <f t="shared" si="95"/>
        <v>39.598333333333336</v>
      </c>
      <c r="CS5" s="209">
        <f t="shared" si="96"/>
        <v>9.9271587743732592</v>
      </c>
      <c r="CT5" s="210">
        <f t="shared" si="108"/>
        <v>57</v>
      </c>
      <c r="CU5" s="209">
        <f t="shared" si="97"/>
        <v>14.289693593314762</v>
      </c>
      <c r="CV5" s="63">
        <f t="shared" si="98"/>
        <v>0.80812925170068028</v>
      </c>
      <c r="CW5" s="63">
        <f t="shared" si="99"/>
        <v>0.6701082251082251</v>
      </c>
      <c r="CX5" s="181">
        <f t="shared" si="100"/>
        <v>45</v>
      </c>
      <c r="CY5" s="182">
        <f t="shared" si="101"/>
        <v>11.281337047353761</v>
      </c>
      <c r="CZ5" s="183">
        <f t="shared" si="102"/>
        <v>45.87222222222222</v>
      </c>
      <c r="DA5" s="182">
        <f t="shared" si="103"/>
        <v>11.5</v>
      </c>
      <c r="DB5" s="183">
        <f t="shared" si="104"/>
        <v>58</v>
      </c>
      <c r="DC5" s="182">
        <f t="shared" si="105"/>
        <v>14.540389972144848</v>
      </c>
      <c r="DD5" s="182">
        <f t="shared" si="106"/>
        <v>10</v>
      </c>
      <c r="DE5" s="62">
        <f t="shared" si="107"/>
        <v>7.03</v>
      </c>
      <c r="DF5" s="298"/>
      <c r="DG5" s="294" t="s">
        <v>892</v>
      </c>
      <c r="DH5" s="294" t="s">
        <v>562</v>
      </c>
      <c r="DI5" s="294">
        <v>38</v>
      </c>
      <c r="DJ5" s="392">
        <v>0</v>
      </c>
      <c r="DK5" s="294" t="s">
        <v>893</v>
      </c>
      <c r="DL5" s="294" t="s">
        <v>13</v>
      </c>
      <c r="DM5" s="294" t="s">
        <v>607</v>
      </c>
      <c r="DN5" s="295">
        <v>46145</v>
      </c>
      <c r="DO5" s="294" t="s">
        <v>894</v>
      </c>
      <c r="DP5" s="294">
        <v>359</v>
      </c>
      <c r="DQ5" s="294">
        <v>4</v>
      </c>
      <c r="DR5" s="294">
        <v>0</v>
      </c>
      <c r="DS5" s="294">
        <v>0</v>
      </c>
      <c r="DT5" s="294">
        <v>0</v>
      </c>
      <c r="DU5" s="294">
        <v>2</v>
      </c>
      <c r="DV5" s="294">
        <v>0</v>
      </c>
      <c r="DW5" s="294">
        <v>0</v>
      </c>
      <c r="DX5" s="294">
        <v>1</v>
      </c>
      <c r="DY5" s="294">
        <v>10</v>
      </c>
      <c r="DZ5" s="294">
        <v>11.5</v>
      </c>
      <c r="EA5" s="294" t="s">
        <v>853</v>
      </c>
      <c r="EB5" s="294" t="s">
        <v>868</v>
      </c>
      <c r="EC5" s="294">
        <v>14</v>
      </c>
      <c r="ED5" s="294">
        <v>9</v>
      </c>
      <c r="EE5" s="294">
        <v>0.3</v>
      </c>
      <c r="EF5" s="294">
        <v>214</v>
      </c>
      <c r="EG5" s="294">
        <v>178</v>
      </c>
      <c r="EH5" s="294">
        <v>4</v>
      </c>
      <c r="EI5" s="294">
        <v>22</v>
      </c>
      <c r="EJ5" s="294">
        <v>1</v>
      </c>
      <c r="EK5" s="294">
        <v>0</v>
      </c>
      <c r="EL5" s="294">
        <v>27</v>
      </c>
      <c r="EM5" s="294">
        <v>7</v>
      </c>
      <c r="EN5" s="294">
        <v>4</v>
      </c>
      <c r="EO5" s="294">
        <v>7</v>
      </c>
      <c r="EP5" s="294">
        <v>5</v>
      </c>
      <c r="EQ5" s="294">
        <v>1</v>
      </c>
      <c r="ER5" s="294">
        <v>1</v>
      </c>
      <c r="ES5" s="294">
        <v>16</v>
      </c>
      <c r="ET5" s="294">
        <v>3</v>
      </c>
      <c r="EU5" s="294">
        <v>4</v>
      </c>
      <c r="EV5" s="294">
        <v>18</v>
      </c>
      <c r="EW5" s="294">
        <v>1</v>
      </c>
      <c r="EX5" s="294">
        <v>0</v>
      </c>
      <c r="EY5" s="294">
        <v>0</v>
      </c>
      <c r="EZ5" s="294">
        <v>0</v>
      </c>
      <c r="FA5" s="294">
        <v>0</v>
      </c>
      <c r="FB5" s="294">
        <v>4</v>
      </c>
      <c r="FC5" s="294" t="s">
        <v>895</v>
      </c>
      <c r="FD5" s="299">
        <v>7.03</v>
      </c>
    </row>
    <row r="6" spans="1:160" ht="24.95" customHeight="1" thickBot="1" x14ac:dyDescent="0.3">
      <c r="A6" s="29" t="str">
        <f t="shared" si="0"/>
        <v>5º</v>
      </c>
      <c r="B6" s="70" t="str">
        <f t="shared" si="1"/>
        <v>Fábio Bêh</v>
      </c>
      <c r="C6" s="86" t="str">
        <f t="shared" si="2"/>
        <v>BRA</v>
      </c>
      <c r="D6" s="99" t="str">
        <f t="shared" si="3"/>
        <v>Pé Esquerdo</v>
      </c>
      <c r="E6" s="65" t="str">
        <f t="shared" si="4"/>
        <v>Santa Cruz (AC)</v>
      </c>
      <c r="F6" s="166">
        <f t="shared" si="5"/>
        <v>1.82</v>
      </c>
      <c r="G6" s="168">
        <f t="shared" si="6"/>
        <v>21</v>
      </c>
      <c r="H6" s="304" t="str">
        <f t="shared" si="7"/>
        <v>€1,2m p/m</v>
      </c>
      <c r="I6" s="66">
        <f t="shared" si="8"/>
        <v>0</v>
      </c>
      <c r="J6" s="96">
        <f t="shared" si="9"/>
        <v>3.9299999999999997</v>
      </c>
      <c r="K6" s="146">
        <f t="shared" si="10"/>
        <v>3.4666666666666668</v>
      </c>
      <c r="L6" s="188">
        <f t="shared" si="11"/>
        <v>4</v>
      </c>
      <c r="M6" s="188">
        <f t="shared" si="12"/>
        <v>78</v>
      </c>
      <c r="N6" s="189">
        <f t="shared" si="13"/>
        <v>1</v>
      </c>
      <c r="O6" s="55">
        <f t="shared" si="14"/>
        <v>0</v>
      </c>
      <c r="P6" s="55">
        <f t="shared" si="15"/>
        <v>0</v>
      </c>
      <c r="Q6" s="55">
        <f t="shared" si="16"/>
        <v>0</v>
      </c>
      <c r="R6" s="57">
        <f t="shared" si="17"/>
        <v>0</v>
      </c>
      <c r="S6" s="56">
        <f t="shared" si="18"/>
        <v>0</v>
      </c>
      <c r="T6" s="63">
        <f t="shared" si="19"/>
        <v>0</v>
      </c>
      <c r="U6" s="57">
        <f t="shared" si="20"/>
        <v>0.2</v>
      </c>
      <c r="V6" s="57">
        <f t="shared" si="21"/>
        <v>5.7692307692307696E-2</v>
      </c>
      <c r="W6" s="57">
        <f t="shared" si="22"/>
        <v>0.2</v>
      </c>
      <c r="X6" s="57">
        <f t="shared" si="23"/>
        <v>5.7692307692307696E-2</v>
      </c>
      <c r="Y6" s="57">
        <f t="shared" si="24"/>
        <v>0.74</v>
      </c>
      <c r="Z6" s="57">
        <f t="shared" si="25"/>
        <v>0.21346153846153845</v>
      </c>
      <c r="AA6" s="57">
        <f t="shared" si="26"/>
        <v>0.94</v>
      </c>
      <c r="AB6" s="57">
        <f t="shared" si="27"/>
        <v>0.27115384615384613</v>
      </c>
      <c r="AC6" s="56">
        <f t="shared" si="28"/>
        <v>0</v>
      </c>
      <c r="AD6" s="56">
        <f t="shared" si="29"/>
        <v>0</v>
      </c>
      <c r="AE6" s="56">
        <f t="shared" si="30"/>
        <v>0</v>
      </c>
      <c r="AF6" s="60">
        <f t="shared" si="31"/>
        <v>9.9999999999999995E-8</v>
      </c>
      <c r="AG6" s="56">
        <f t="shared" si="32"/>
        <v>9</v>
      </c>
      <c r="AH6" s="57">
        <f t="shared" si="33"/>
        <v>2.5961538461538463</v>
      </c>
      <c r="AI6" s="55">
        <f t="shared" si="34"/>
        <v>5</v>
      </c>
      <c r="AJ6" s="57">
        <f t="shared" si="35"/>
        <v>1.4423076923076923</v>
      </c>
      <c r="AK6" s="56">
        <f t="shared" si="36"/>
        <v>0</v>
      </c>
      <c r="AL6" s="57">
        <f t="shared" si="37"/>
        <v>0</v>
      </c>
      <c r="AM6" s="114">
        <f t="shared" si="38"/>
        <v>0.55555555555555558</v>
      </c>
      <c r="AN6" s="56">
        <f t="shared" si="39"/>
        <v>4</v>
      </c>
      <c r="AO6" s="57">
        <f t="shared" si="40"/>
        <v>1.1538461538461537</v>
      </c>
      <c r="AP6" s="56">
        <f t="shared" si="41"/>
        <v>28</v>
      </c>
      <c r="AQ6" s="57">
        <f t="shared" si="42"/>
        <v>8.0769230769230766</v>
      </c>
      <c r="AR6" s="56">
        <f t="shared" si="43"/>
        <v>11</v>
      </c>
      <c r="AS6" s="57">
        <f t="shared" si="44"/>
        <v>3.1730769230769229</v>
      </c>
      <c r="AT6" s="60">
        <f t="shared" si="45"/>
        <v>0.39285714285714285</v>
      </c>
      <c r="AU6" s="61">
        <f t="shared" si="46"/>
        <v>199</v>
      </c>
      <c r="AV6" s="62">
        <f t="shared" si="47"/>
        <v>57.403846153846153</v>
      </c>
      <c r="AW6" s="61">
        <f t="shared" si="48"/>
        <v>179</v>
      </c>
      <c r="AX6" s="62">
        <f t="shared" si="49"/>
        <v>51.63461538461538</v>
      </c>
      <c r="AY6" s="63">
        <f t="shared" si="50"/>
        <v>0.89949748743718594</v>
      </c>
      <c r="AZ6" s="61">
        <f t="shared" si="51"/>
        <v>47</v>
      </c>
      <c r="BA6" s="57">
        <f t="shared" si="52"/>
        <v>13.557692307692307</v>
      </c>
      <c r="BB6" s="57">
        <f t="shared" si="53"/>
        <v>9.9499999999999993</v>
      </c>
      <c r="BC6" s="56">
        <f t="shared" si="54"/>
        <v>175</v>
      </c>
      <c r="BD6" s="57">
        <f t="shared" si="55"/>
        <v>50.480769230769226</v>
      </c>
      <c r="BE6" s="56">
        <f t="shared" si="56"/>
        <v>24</v>
      </c>
      <c r="BF6" s="57">
        <f t="shared" si="57"/>
        <v>6.9230769230769225</v>
      </c>
      <c r="BG6" s="305">
        <f t="shared" si="58"/>
        <v>0.13714285714285715</v>
      </c>
      <c r="BH6" s="56">
        <f t="shared" si="59"/>
        <v>28</v>
      </c>
      <c r="BI6" s="57">
        <f t="shared" si="60"/>
        <v>8.0769230769230766</v>
      </c>
      <c r="BJ6" s="56">
        <f t="shared" si="61"/>
        <v>1</v>
      </c>
      <c r="BK6" s="57">
        <f t="shared" si="62"/>
        <v>0.28846153846153844</v>
      </c>
      <c r="BL6" s="59">
        <f t="shared" si="63"/>
        <v>3.5714285714285712E-2</v>
      </c>
      <c r="BM6" s="56">
        <f t="shared" si="64"/>
        <v>6</v>
      </c>
      <c r="BN6" s="57">
        <f t="shared" si="65"/>
        <v>1.7307692307692306</v>
      </c>
      <c r="BO6" s="57">
        <f t="shared" si="66"/>
        <v>44.571428571428569</v>
      </c>
      <c r="BP6" s="57">
        <f t="shared" si="67"/>
        <v>52</v>
      </c>
      <c r="BQ6" s="57">
        <f t="shared" si="68"/>
        <v>0.74</v>
      </c>
      <c r="BR6" s="57">
        <f t="shared" si="69"/>
        <v>0.74</v>
      </c>
      <c r="BS6" s="306">
        <f t="shared" si="70"/>
        <v>8.74</v>
      </c>
      <c r="BT6" s="307">
        <f t="shared" si="71"/>
        <v>2.5211538461538461</v>
      </c>
      <c r="BU6" s="309">
        <f t="shared" si="72"/>
        <v>4</v>
      </c>
      <c r="BV6" s="310">
        <f t="shared" si="73"/>
        <v>1.1538461538461537</v>
      </c>
      <c r="BW6" s="56">
        <f t="shared" si="74"/>
        <v>0</v>
      </c>
      <c r="BX6" s="57">
        <f t="shared" si="75"/>
        <v>0</v>
      </c>
      <c r="BY6" s="306">
        <f t="shared" si="76"/>
        <v>0</v>
      </c>
      <c r="BZ6" s="307">
        <f t="shared" si="77"/>
        <v>0</v>
      </c>
      <c r="CA6" s="56">
        <f t="shared" si="78"/>
        <v>271</v>
      </c>
      <c r="CB6" s="57">
        <f t="shared" si="79"/>
        <v>78.17307692307692</v>
      </c>
      <c r="CC6" s="56">
        <f t="shared" si="80"/>
        <v>20</v>
      </c>
      <c r="CD6" s="57">
        <f t="shared" si="81"/>
        <v>5.7692307692307692</v>
      </c>
      <c r="CE6" s="56">
        <f t="shared" si="82"/>
        <v>13</v>
      </c>
      <c r="CF6" s="57">
        <f t="shared" si="83"/>
        <v>3.75</v>
      </c>
      <c r="CG6" s="63">
        <f t="shared" si="84"/>
        <v>0.65</v>
      </c>
      <c r="CH6" s="210">
        <f t="shared" si="85"/>
        <v>3.12</v>
      </c>
      <c r="CI6" s="209">
        <f t="shared" si="86"/>
        <v>0.9</v>
      </c>
      <c r="CJ6" s="302">
        <f t="shared" si="87"/>
        <v>17.12</v>
      </c>
      <c r="CK6" s="303">
        <f t="shared" si="88"/>
        <v>4.9384615384615387</v>
      </c>
      <c r="CL6" s="56">
        <f t="shared" si="89"/>
        <v>41</v>
      </c>
      <c r="CM6" s="56">
        <f t="shared" si="90"/>
        <v>15</v>
      </c>
      <c r="CN6" s="57">
        <f t="shared" si="91"/>
        <v>4.3269230769230766</v>
      </c>
      <c r="CO6" s="63">
        <f t="shared" si="92"/>
        <v>0.36585365853658536</v>
      </c>
      <c r="CP6" s="56">
        <f t="shared" si="93"/>
        <v>44.33</v>
      </c>
      <c r="CQ6" s="57">
        <f t="shared" si="94"/>
        <v>12.7875</v>
      </c>
      <c r="CR6" s="56">
        <f t="shared" si="95"/>
        <v>33.56</v>
      </c>
      <c r="CS6" s="209">
        <f t="shared" si="96"/>
        <v>9.680769230769231</v>
      </c>
      <c r="CT6" s="210">
        <f t="shared" si="108"/>
        <v>52.25</v>
      </c>
      <c r="CU6" s="209">
        <f t="shared" si="97"/>
        <v>15.072115384615383</v>
      </c>
      <c r="CV6" s="63">
        <f t="shared" si="98"/>
        <v>0.75704940221069261</v>
      </c>
      <c r="CW6" s="63">
        <f t="shared" si="99"/>
        <v>0.56908472987226066</v>
      </c>
      <c r="CX6" s="181">
        <f t="shared" si="100"/>
        <v>43.6</v>
      </c>
      <c r="CY6" s="182">
        <f t="shared" si="101"/>
        <v>12.576923076923077</v>
      </c>
      <c r="CZ6" s="183">
        <f t="shared" si="102"/>
        <v>41.946666666666665</v>
      </c>
      <c r="DA6" s="182">
        <f t="shared" si="103"/>
        <v>12.1</v>
      </c>
      <c r="DB6" s="183">
        <f t="shared" si="104"/>
        <v>54</v>
      </c>
      <c r="DC6" s="182">
        <f t="shared" si="105"/>
        <v>15.576923076923077</v>
      </c>
      <c r="DD6" s="182">
        <f t="shared" si="106"/>
        <v>13.3</v>
      </c>
      <c r="DE6" s="62">
        <f t="shared" si="107"/>
        <v>7.13</v>
      </c>
      <c r="DF6" s="298" t="s">
        <v>19</v>
      </c>
      <c r="DG6" s="294" t="s">
        <v>913</v>
      </c>
      <c r="DH6" s="294" t="s">
        <v>829</v>
      </c>
      <c r="DI6" s="294">
        <v>21</v>
      </c>
      <c r="DJ6" s="392">
        <v>0</v>
      </c>
      <c r="DK6" s="294" t="s">
        <v>855</v>
      </c>
      <c r="DL6" s="294" t="s">
        <v>13</v>
      </c>
      <c r="DM6" s="294" t="s">
        <v>607</v>
      </c>
      <c r="DN6" s="295">
        <v>46173</v>
      </c>
      <c r="DO6" s="294" t="s">
        <v>914</v>
      </c>
      <c r="DP6" s="294">
        <v>312</v>
      </c>
      <c r="DQ6" s="294">
        <v>4</v>
      </c>
      <c r="DR6" s="294">
        <v>0</v>
      </c>
      <c r="DS6" s="294">
        <v>0</v>
      </c>
      <c r="DT6" s="294">
        <v>0</v>
      </c>
      <c r="DU6" s="294">
        <v>0</v>
      </c>
      <c r="DV6" s="294">
        <v>1</v>
      </c>
      <c r="DW6" s="294">
        <v>0</v>
      </c>
      <c r="DX6" s="294">
        <v>1</v>
      </c>
      <c r="DY6" s="294">
        <v>13.3</v>
      </c>
      <c r="DZ6" s="294">
        <v>12.1</v>
      </c>
      <c r="EA6" s="294" t="s">
        <v>915</v>
      </c>
      <c r="EB6" s="294" t="s">
        <v>831</v>
      </c>
      <c r="EC6" s="294">
        <v>20</v>
      </c>
      <c r="ED6" s="294">
        <v>13</v>
      </c>
      <c r="EE6" s="294">
        <v>0.9</v>
      </c>
      <c r="EF6" s="294">
        <v>199</v>
      </c>
      <c r="EG6" s="294">
        <v>179</v>
      </c>
      <c r="EH6" s="294">
        <v>6</v>
      </c>
      <c r="EI6" s="294">
        <v>24</v>
      </c>
      <c r="EJ6" s="294">
        <v>2</v>
      </c>
      <c r="EK6" s="294">
        <v>0</v>
      </c>
      <c r="EL6" s="294">
        <v>18</v>
      </c>
      <c r="EM6" s="294">
        <v>5</v>
      </c>
      <c r="EN6" s="294">
        <v>4</v>
      </c>
      <c r="EO6" s="294">
        <v>5</v>
      </c>
      <c r="EP6" s="294">
        <v>5</v>
      </c>
      <c r="EQ6" s="294">
        <v>0</v>
      </c>
      <c r="ER6" s="294">
        <v>1</v>
      </c>
      <c r="ES6" s="294">
        <v>9</v>
      </c>
      <c r="ET6" s="294">
        <v>1</v>
      </c>
      <c r="EU6" s="294">
        <v>3</v>
      </c>
      <c r="EV6" s="294">
        <v>28</v>
      </c>
      <c r="EW6" s="294">
        <v>1</v>
      </c>
      <c r="EX6" s="294">
        <v>0</v>
      </c>
      <c r="EY6" s="294">
        <v>0</v>
      </c>
      <c r="EZ6" s="294">
        <v>0</v>
      </c>
      <c r="FA6" s="294">
        <v>0</v>
      </c>
      <c r="FB6" s="294">
        <v>4</v>
      </c>
      <c r="FC6" s="294" t="s">
        <v>883</v>
      </c>
      <c r="FD6" s="299">
        <v>7.13</v>
      </c>
    </row>
    <row r="7" spans="1:160" ht="24.95" customHeight="1" thickBot="1" x14ac:dyDescent="0.3">
      <c r="A7" s="29" t="str">
        <f t="shared" si="0"/>
        <v>6º</v>
      </c>
      <c r="B7" s="70" t="str">
        <f t="shared" si="1"/>
        <v>Gregory</v>
      </c>
      <c r="C7" s="86" t="str">
        <f t="shared" si="2"/>
        <v>BRA</v>
      </c>
      <c r="D7" s="99" t="str">
        <f t="shared" si="3"/>
        <v>Pé Esquerdo</v>
      </c>
      <c r="E7" s="65" t="str">
        <f t="shared" si="4"/>
        <v>Esportiva Itapirense</v>
      </c>
      <c r="F7" s="166">
        <f t="shared" si="5"/>
        <v>1.83</v>
      </c>
      <c r="G7" s="168">
        <f t="shared" si="6"/>
        <v>21</v>
      </c>
      <c r="H7" s="304" t="str">
        <f t="shared" si="7"/>
        <v>€1,2m p/m</v>
      </c>
      <c r="I7" s="66">
        <f t="shared" si="8"/>
        <v>0</v>
      </c>
      <c r="J7" s="96">
        <f t="shared" si="9"/>
        <v>3.9299999999999997</v>
      </c>
      <c r="K7" s="146">
        <f t="shared" si="10"/>
        <v>5.3444444444444441</v>
      </c>
      <c r="L7" s="188">
        <f t="shared" si="11"/>
        <v>7</v>
      </c>
      <c r="M7" s="188">
        <f t="shared" si="12"/>
        <v>68.714285714285708</v>
      </c>
      <c r="N7" s="189">
        <f t="shared" si="13"/>
        <v>0.86</v>
      </c>
      <c r="O7" s="55">
        <f t="shared" si="14"/>
        <v>0</v>
      </c>
      <c r="P7" s="55">
        <f t="shared" si="15"/>
        <v>2</v>
      </c>
      <c r="Q7" s="55">
        <f t="shared" si="16"/>
        <v>2</v>
      </c>
      <c r="R7" s="57">
        <f t="shared" si="17"/>
        <v>0.37422037422037424</v>
      </c>
      <c r="S7" s="56">
        <f t="shared" si="18"/>
        <v>1</v>
      </c>
      <c r="T7" s="63">
        <f t="shared" si="19"/>
        <v>0.18711018711018712</v>
      </c>
      <c r="U7" s="57">
        <f t="shared" si="20"/>
        <v>0.25</v>
      </c>
      <c r="V7" s="57">
        <f t="shared" si="21"/>
        <v>4.677754677754678E-2</v>
      </c>
      <c r="W7" s="57">
        <f t="shared" si="22"/>
        <v>0.25</v>
      </c>
      <c r="X7" s="57">
        <f t="shared" si="23"/>
        <v>4.677754677754678E-2</v>
      </c>
      <c r="Y7" s="57">
        <f t="shared" si="24"/>
        <v>0.41</v>
      </c>
      <c r="Z7" s="57">
        <f t="shared" si="25"/>
        <v>7.6715176715176719E-2</v>
      </c>
      <c r="AA7" s="57">
        <f t="shared" si="26"/>
        <v>0.65999999999999992</v>
      </c>
      <c r="AB7" s="57">
        <f t="shared" si="27"/>
        <v>0.12349272349272349</v>
      </c>
      <c r="AC7" s="56">
        <f t="shared" si="28"/>
        <v>0</v>
      </c>
      <c r="AD7" s="56">
        <f t="shared" si="29"/>
        <v>0</v>
      </c>
      <c r="AE7" s="56">
        <f t="shared" si="30"/>
        <v>0</v>
      </c>
      <c r="AF7" s="60">
        <f t="shared" si="31"/>
        <v>9.9999999999999995E-8</v>
      </c>
      <c r="AG7" s="56">
        <f t="shared" si="32"/>
        <v>18</v>
      </c>
      <c r="AH7" s="57">
        <f t="shared" si="33"/>
        <v>3.3679833679833684</v>
      </c>
      <c r="AI7" s="55">
        <f t="shared" si="34"/>
        <v>7</v>
      </c>
      <c r="AJ7" s="57">
        <f t="shared" si="35"/>
        <v>1.30977130977131</v>
      </c>
      <c r="AK7" s="56">
        <f t="shared" si="36"/>
        <v>2</v>
      </c>
      <c r="AL7" s="57">
        <f t="shared" si="37"/>
        <v>0.37422037422037424</v>
      </c>
      <c r="AM7" s="114">
        <f t="shared" si="38"/>
        <v>0.3888888888888889</v>
      </c>
      <c r="AN7" s="56">
        <f t="shared" si="39"/>
        <v>9</v>
      </c>
      <c r="AO7" s="57">
        <f t="shared" si="40"/>
        <v>1.6839916839916842</v>
      </c>
      <c r="AP7" s="56">
        <f t="shared" si="41"/>
        <v>49</v>
      </c>
      <c r="AQ7" s="57">
        <f t="shared" si="42"/>
        <v>9.1683991683991692</v>
      </c>
      <c r="AR7" s="56">
        <f t="shared" si="43"/>
        <v>17</v>
      </c>
      <c r="AS7" s="57">
        <f t="shared" si="44"/>
        <v>3.1808731808731809</v>
      </c>
      <c r="AT7" s="60">
        <f t="shared" si="45"/>
        <v>0.34693877551020408</v>
      </c>
      <c r="AU7" s="61">
        <f t="shared" si="46"/>
        <v>303</v>
      </c>
      <c r="AV7" s="62">
        <f t="shared" si="47"/>
        <v>56.694386694386701</v>
      </c>
      <c r="AW7" s="61">
        <f t="shared" si="48"/>
        <v>269</v>
      </c>
      <c r="AX7" s="62">
        <f t="shared" si="49"/>
        <v>50.332640332640338</v>
      </c>
      <c r="AY7" s="63">
        <f t="shared" si="50"/>
        <v>0.88778877887788776</v>
      </c>
      <c r="AZ7" s="61">
        <f t="shared" si="51"/>
        <v>76</v>
      </c>
      <c r="BA7" s="57">
        <f t="shared" si="52"/>
        <v>14.220374220374222</v>
      </c>
      <c r="BB7" s="57">
        <f t="shared" si="53"/>
        <v>8.9117647058823533</v>
      </c>
      <c r="BC7" s="56">
        <f t="shared" si="54"/>
        <v>265</v>
      </c>
      <c r="BD7" s="57">
        <f t="shared" si="55"/>
        <v>49.584199584199588</v>
      </c>
      <c r="BE7" s="56">
        <f t="shared" si="56"/>
        <v>38</v>
      </c>
      <c r="BF7" s="57">
        <f t="shared" si="57"/>
        <v>7.1101871101871108</v>
      </c>
      <c r="BG7" s="305">
        <f t="shared" si="58"/>
        <v>0.14339622641509434</v>
      </c>
      <c r="BH7" s="56">
        <f t="shared" si="59"/>
        <v>51</v>
      </c>
      <c r="BI7" s="57">
        <f t="shared" si="60"/>
        <v>9.5426195426195424</v>
      </c>
      <c r="BJ7" s="56">
        <f t="shared" si="61"/>
        <v>9</v>
      </c>
      <c r="BK7" s="57">
        <f t="shared" si="62"/>
        <v>1.6839916839916842</v>
      </c>
      <c r="BL7" s="59">
        <f t="shared" si="63"/>
        <v>0.17647058823529413</v>
      </c>
      <c r="BM7" s="56">
        <f t="shared" si="64"/>
        <v>9</v>
      </c>
      <c r="BN7" s="57">
        <f t="shared" si="65"/>
        <v>1.6839916839916842</v>
      </c>
      <c r="BO7" s="57">
        <f t="shared" si="66"/>
        <v>53.444444444444443</v>
      </c>
      <c r="BP7" s="57">
        <f t="shared" si="67"/>
        <v>53.444444444444443</v>
      </c>
      <c r="BQ7" s="57">
        <f t="shared" si="68"/>
        <v>0.41</v>
      </c>
      <c r="BR7" s="57">
        <f t="shared" si="69"/>
        <v>-1.59</v>
      </c>
      <c r="BS7" s="306">
        <f t="shared" si="70"/>
        <v>18.41</v>
      </c>
      <c r="BT7" s="307">
        <f t="shared" si="71"/>
        <v>3.4446985446985448</v>
      </c>
      <c r="BU7" s="309">
        <f t="shared" si="72"/>
        <v>5</v>
      </c>
      <c r="BV7" s="310">
        <f t="shared" si="73"/>
        <v>0.9355509355509356</v>
      </c>
      <c r="BW7" s="56">
        <f t="shared" si="74"/>
        <v>0</v>
      </c>
      <c r="BX7" s="57">
        <f t="shared" si="75"/>
        <v>0</v>
      </c>
      <c r="BY7" s="306">
        <f t="shared" si="76"/>
        <v>0</v>
      </c>
      <c r="BZ7" s="307">
        <f t="shared" si="77"/>
        <v>0</v>
      </c>
      <c r="CA7" s="56">
        <f t="shared" si="78"/>
        <v>420</v>
      </c>
      <c r="CB7" s="57">
        <f t="shared" si="79"/>
        <v>78.586278586278596</v>
      </c>
      <c r="CC7" s="56">
        <f t="shared" si="80"/>
        <v>29</v>
      </c>
      <c r="CD7" s="57">
        <f t="shared" si="81"/>
        <v>5.4261954261954264</v>
      </c>
      <c r="CE7" s="56">
        <f t="shared" si="82"/>
        <v>21</v>
      </c>
      <c r="CF7" s="57">
        <f t="shared" si="83"/>
        <v>3.9293139293139294</v>
      </c>
      <c r="CG7" s="63">
        <f t="shared" si="84"/>
        <v>0.72413793103448276</v>
      </c>
      <c r="CH7" s="210">
        <f t="shared" si="85"/>
        <v>3.2066666666666666</v>
      </c>
      <c r="CI7" s="209">
        <f t="shared" si="86"/>
        <v>0.6</v>
      </c>
      <c r="CJ7" s="302">
        <f t="shared" si="87"/>
        <v>18.206666666666667</v>
      </c>
      <c r="CK7" s="303">
        <f t="shared" si="88"/>
        <v>3.406652806652807</v>
      </c>
      <c r="CL7" s="56">
        <f t="shared" si="89"/>
        <v>69</v>
      </c>
      <c r="CM7" s="56">
        <f t="shared" si="90"/>
        <v>27.5</v>
      </c>
      <c r="CN7" s="57">
        <f t="shared" si="91"/>
        <v>5.1455301455301461</v>
      </c>
      <c r="CO7" s="63">
        <f t="shared" si="92"/>
        <v>0.39855072463768115</v>
      </c>
      <c r="CP7" s="56">
        <f t="shared" si="93"/>
        <v>69</v>
      </c>
      <c r="CQ7" s="57">
        <f t="shared" si="94"/>
        <v>12.910602910602911</v>
      </c>
      <c r="CR7" s="56">
        <f t="shared" si="95"/>
        <v>51.603333333333332</v>
      </c>
      <c r="CS7" s="209">
        <f t="shared" si="96"/>
        <v>9.6555093555093556</v>
      </c>
      <c r="CT7" s="210">
        <f t="shared" si="108"/>
        <v>85</v>
      </c>
      <c r="CU7" s="209">
        <f t="shared" si="97"/>
        <v>15.904365904365905</v>
      </c>
      <c r="CV7" s="63">
        <f t="shared" si="98"/>
        <v>0.74787439613526563</v>
      </c>
      <c r="CW7" s="63">
        <f t="shared" si="99"/>
        <v>0.57321256038647339</v>
      </c>
      <c r="CX7" s="181">
        <f t="shared" si="100"/>
        <v>60.3</v>
      </c>
      <c r="CY7" s="182">
        <f t="shared" si="101"/>
        <v>11.282744282744282</v>
      </c>
      <c r="CZ7" s="183">
        <f t="shared" si="102"/>
        <v>61.995555555555548</v>
      </c>
      <c r="DA7" s="182">
        <f t="shared" si="103"/>
        <v>11.6</v>
      </c>
      <c r="DB7" s="183">
        <f t="shared" si="104"/>
        <v>84</v>
      </c>
      <c r="DC7" s="182">
        <f t="shared" si="105"/>
        <v>15.717255717255718</v>
      </c>
      <c r="DD7" s="182">
        <f t="shared" si="106"/>
        <v>14.8</v>
      </c>
      <c r="DE7" s="62">
        <f t="shared" si="107"/>
        <v>7.01</v>
      </c>
      <c r="DF7" s="298" t="s">
        <v>19</v>
      </c>
      <c r="DG7" s="294" t="s">
        <v>862</v>
      </c>
      <c r="DH7" s="294" t="s">
        <v>792</v>
      </c>
      <c r="DI7" s="294">
        <v>21</v>
      </c>
      <c r="DJ7" s="392">
        <v>0</v>
      </c>
      <c r="DK7" s="294" t="s">
        <v>855</v>
      </c>
      <c r="DL7" s="294" t="s">
        <v>13</v>
      </c>
      <c r="DM7" s="294" t="s">
        <v>607</v>
      </c>
      <c r="DN7" s="295">
        <v>46231</v>
      </c>
      <c r="DO7" s="294" t="s">
        <v>863</v>
      </c>
      <c r="DP7" s="294">
        <v>481</v>
      </c>
      <c r="DQ7" s="294" t="s">
        <v>864</v>
      </c>
      <c r="DR7" s="294">
        <v>1</v>
      </c>
      <c r="DS7" s="294">
        <v>0</v>
      </c>
      <c r="DT7" s="294">
        <v>0</v>
      </c>
      <c r="DU7" s="294">
        <v>2</v>
      </c>
      <c r="DV7" s="294">
        <v>0</v>
      </c>
      <c r="DW7" s="294">
        <v>0</v>
      </c>
      <c r="DX7" s="294">
        <v>0</v>
      </c>
      <c r="DY7" s="294">
        <v>14.8</v>
      </c>
      <c r="DZ7" s="294">
        <v>11.6</v>
      </c>
      <c r="EA7" s="294" t="s">
        <v>854</v>
      </c>
      <c r="EB7" s="294" t="s">
        <v>865</v>
      </c>
      <c r="EC7" s="294">
        <v>29</v>
      </c>
      <c r="ED7" s="294">
        <v>21</v>
      </c>
      <c r="EE7" s="294">
        <v>0.6</v>
      </c>
      <c r="EF7" s="294">
        <v>303</v>
      </c>
      <c r="EG7" s="294">
        <v>269</v>
      </c>
      <c r="EH7" s="294">
        <v>9</v>
      </c>
      <c r="EI7" s="294">
        <v>38</v>
      </c>
      <c r="EJ7" s="294">
        <v>4</v>
      </c>
      <c r="EK7" s="294">
        <v>0</v>
      </c>
      <c r="EL7" s="294">
        <v>30</v>
      </c>
      <c r="EM7" s="294">
        <v>9</v>
      </c>
      <c r="EN7" s="294">
        <v>9</v>
      </c>
      <c r="EO7" s="294">
        <v>9</v>
      </c>
      <c r="EP7" s="294">
        <v>7</v>
      </c>
      <c r="EQ7" s="294">
        <v>0</v>
      </c>
      <c r="ER7" s="294">
        <v>1</v>
      </c>
      <c r="ES7" s="294">
        <v>8</v>
      </c>
      <c r="ET7" s="294">
        <v>5</v>
      </c>
      <c r="EU7" s="294">
        <v>8</v>
      </c>
      <c r="EV7" s="294">
        <v>51</v>
      </c>
      <c r="EW7" s="294">
        <v>9</v>
      </c>
      <c r="EX7" s="294">
        <v>1</v>
      </c>
      <c r="EY7" s="294">
        <v>0</v>
      </c>
      <c r="EZ7" s="294">
        <v>0</v>
      </c>
      <c r="FA7" s="294">
        <v>0</v>
      </c>
      <c r="FB7" s="294">
        <v>5</v>
      </c>
      <c r="FC7" s="294" t="s">
        <v>866</v>
      </c>
      <c r="FD7" s="299">
        <v>7.01</v>
      </c>
    </row>
    <row r="8" spans="1:160" ht="24.95" customHeight="1" thickBot="1" x14ac:dyDescent="0.3">
      <c r="A8" s="29" t="str">
        <f t="shared" si="0"/>
        <v>7º</v>
      </c>
      <c r="B8" s="70" t="str">
        <f t="shared" si="1"/>
        <v>Negueba</v>
      </c>
      <c r="C8" s="86" t="str">
        <f t="shared" si="2"/>
        <v>BRA</v>
      </c>
      <c r="D8" s="99" t="str">
        <f t="shared" si="3"/>
        <v>Somente Pé Esquerdo</v>
      </c>
      <c r="E8" s="65" t="str">
        <f t="shared" si="4"/>
        <v>São José (AP)</v>
      </c>
      <c r="F8" s="166">
        <f t="shared" si="5"/>
        <v>1.72</v>
      </c>
      <c r="G8" s="168">
        <f t="shared" si="6"/>
        <v>31</v>
      </c>
      <c r="H8" s="304" t="str">
        <f t="shared" si="7"/>
        <v>€1,2m p/m</v>
      </c>
      <c r="I8" s="66">
        <f t="shared" si="8"/>
        <v>0</v>
      </c>
      <c r="J8" s="96">
        <f t="shared" si="9"/>
        <v>3.9299999999999997</v>
      </c>
      <c r="K8" s="146">
        <f t="shared" si="10"/>
        <v>4</v>
      </c>
      <c r="L8" s="188">
        <f t="shared" si="11"/>
        <v>4</v>
      </c>
      <c r="M8" s="188">
        <f t="shared" si="12"/>
        <v>90</v>
      </c>
      <c r="N8" s="189">
        <f t="shared" si="13"/>
        <v>1</v>
      </c>
      <c r="O8" s="55">
        <f t="shared" si="14"/>
        <v>0</v>
      </c>
      <c r="P8" s="55">
        <f t="shared" si="15"/>
        <v>2</v>
      </c>
      <c r="Q8" s="55">
        <f t="shared" si="16"/>
        <v>2</v>
      </c>
      <c r="R8" s="57">
        <f t="shared" si="17"/>
        <v>0.5</v>
      </c>
      <c r="S8" s="56">
        <f t="shared" si="18"/>
        <v>1</v>
      </c>
      <c r="T8" s="63">
        <f t="shared" si="19"/>
        <v>0.25</v>
      </c>
      <c r="U8" s="57">
        <f t="shared" si="20"/>
        <v>0</v>
      </c>
      <c r="V8" s="57">
        <f t="shared" si="21"/>
        <v>0</v>
      </c>
      <c r="W8" s="57">
        <f t="shared" si="22"/>
        <v>0</v>
      </c>
      <c r="X8" s="57">
        <f t="shared" si="23"/>
        <v>0</v>
      </c>
      <c r="Y8" s="57">
        <f t="shared" si="24"/>
        <v>1.32</v>
      </c>
      <c r="Z8" s="57">
        <f t="shared" si="25"/>
        <v>0.33</v>
      </c>
      <c r="AA8" s="57">
        <f t="shared" si="26"/>
        <v>1.32</v>
      </c>
      <c r="AB8" s="57">
        <f t="shared" si="27"/>
        <v>0.33</v>
      </c>
      <c r="AC8" s="56">
        <f t="shared" si="28"/>
        <v>0</v>
      </c>
      <c r="AD8" s="56">
        <f t="shared" si="29"/>
        <v>0</v>
      </c>
      <c r="AE8" s="56">
        <f t="shared" si="30"/>
        <v>0</v>
      </c>
      <c r="AF8" s="60">
        <f t="shared" si="31"/>
        <v>9.9999999999999995E-8</v>
      </c>
      <c r="AG8" s="56">
        <f t="shared" si="32"/>
        <v>11</v>
      </c>
      <c r="AH8" s="57">
        <f t="shared" si="33"/>
        <v>2.75</v>
      </c>
      <c r="AI8" s="55">
        <f t="shared" si="34"/>
        <v>7</v>
      </c>
      <c r="AJ8" s="57">
        <f t="shared" si="35"/>
        <v>1.75</v>
      </c>
      <c r="AK8" s="56">
        <f t="shared" si="36"/>
        <v>1</v>
      </c>
      <c r="AL8" s="57">
        <f t="shared" si="37"/>
        <v>0.25</v>
      </c>
      <c r="AM8" s="114">
        <f t="shared" si="38"/>
        <v>0.63636363636363635</v>
      </c>
      <c r="AN8" s="56">
        <f t="shared" si="39"/>
        <v>3</v>
      </c>
      <c r="AO8" s="57">
        <f t="shared" si="40"/>
        <v>0.75</v>
      </c>
      <c r="AP8" s="56">
        <f t="shared" si="41"/>
        <v>40</v>
      </c>
      <c r="AQ8" s="57">
        <f t="shared" si="42"/>
        <v>10</v>
      </c>
      <c r="AR8" s="56">
        <f t="shared" si="43"/>
        <v>17</v>
      </c>
      <c r="AS8" s="57">
        <f t="shared" si="44"/>
        <v>4.25</v>
      </c>
      <c r="AT8" s="60">
        <f t="shared" si="45"/>
        <v>0.42499999999999999</v>
      </c>
      <c r="AU8" s="61">
        <f t="shared" si="46"/>
        <v>219</v>
      </c>
      <c r="AV8" s="62">
        <f t="shared" si="47"/>
        <v>54.75</v>
      </c>
      <c r="AW8" s="61">
        <f t="shared" si="48"/>
        <v>196</v>
      </c>
      <c r="AX8" s="62">
        <f t="shared" si="49"/>
        <v>49</v>
      </c>
      <c r="AY8" s="63">
        <f t="shared" si="50"/>
        <v>0.89497716894977164</v>
      </c>
      <c r="AZ8" s="61">
        <f t="shared" si="51"/>
        <v>31</v>
      </c>
      <c r="BA8" s="57">
        <f t="shared" si="52"/>
        <v>7.75</v>
      </c>
      <c r="BB8" s="57">
        <f t="shared" si="53"/>
        <v>9.5217391304347831</v>
      </c>
      <c r="BC8" s="56">
        <f t="shared" si="54"/>
        <v>197</v>
      </c>
      <c r="BD8" s="57">
        <f t="shared" si="55"/>
        <v>49.25</v>
      </c>
      <c r="BE8" s="56">
        <f t="shared" si="56"/>
        <v>22</v>
      </c>
      <c r="BF8" s="57">
        <f t="shared" si="57"/>
        <v>5.5</v>
      </c>
      <c r="BG8" s="305">
        <f t="shared" si="58"/>
        <v>0.1116751269035533</v>
      </c>
      <c r="BH8" s="56">
        <f t="shared" si="59"/>
        <v>10</v>
      </c>
      <c r="BI8" s="57">
        <f t="shared" si="60"/>
        <v>2.5</v>
      </c>
      <c r="BJ8" s="56">
        <f t="shared" si="61"/>
        <v>2</v>
      </c>
      <c r="BK8" s="57">
        <f t="shared" si="62"/>
        <v>0.5</v>
      </c>
      <c r="BL8" s="59">
        <f t="shared" si="63"/>
        <v>0.2</v>
      </c>
      <c r="BM8" s="56">
        <f t="shared" si="64"/>
        <v>5</v>
      </c>
      <c r="BN8" s="57">
        <f t="shared" si="65"/>
        <v>1.25</v>
      </c>
      <c r="BO8" s="57">
        <f t="shared" si="66"/>
        <v>45</v>
      </c>
      <c r="BP8" s="57">
        <f t="shared" si="67"/>
        <v>72</v>
      </c>
      <c r="BQ8" s="57">
        <f t="shared" si="68"/>
        <v>1.32</v>
      </c>
      <c r="BR8" s="57">
        <f t="shared" si="69"/>
        <v>-0.67999999999999994</v>
      </c>
      <c r="BS8" s="306">
        <f t="shared" si="70"/>
        <v>11.32</v>
      </c>
      <c r="BT8" s="307">
        <f t="shared" si="71"/>
        <v>2.83</v>
      </c>
      <c r="BU8" s="309">
        <f t="shared" si="72"/>
        <v>1</v>
      </c>
      <c r="BV8" s="310">
        <f t="shared" si="73"/>
        <v>0.25</v>
      </c>
      <c r="BW8" s="56">
        <f t="shared" si="74"/>
        <v>0</v>
      </c>
      <c r="BX8" s="57">
        <f t="shared" si="75"/>
        <v>0</v>
      </c>
      <c r="BY8" s="306">
        <f t="shared" si="76"/>
        <v>0</v>
      </c>
      <c r="BZ8" s="307">
        <f t="shared" si="77"/>
        <v>0</v>
      </c>
      <c r="CA8" s="56">
        <f t="shared" si="78"/>
        <v>267</v>
      </c>
      <c r="CB8" s="57">
        <f t="shared" si="79"/>
        <v>66.75</v>
      </c>
      <c r="CC8" s="56">
        <f t="shared" si="80"/>
        <v>15</v>
      </c>
      <c r="CD8" s="57">
        <f t="shared" si="81"/>
        <v>3.75</v>
      </c>
      <c r="CE8" s="56">
        <f t="shared" si="82"/>
        <v>4</v>
      </c>
      <c r="CF8" s="57">
        <f t="shared" si="83"/>
        <v>1</v>
      </c>
      <c r="CG8" s="63">
        <f t="shared" si="84"/>
        <v>0.26666666666666666</v>
      </c>
      <c r="CH8" s="210">
        <f t="shared" si="85"/>
        <v>2</v>
      </c>
      <c r="CI8" s="209">
        <f t="shared" si="86"/>
        <v>0.5</v>
      </c>
      <c r="CJ8" s="302">
        <f t="shared" si="87"/>
        <v>23</v>
      </c>
      <c r="CK8" s="303">
        <f t="shared" si="88"/>
        <v>5.75</v>
      </c>
      <c r="CL8" s="56">
        <f t="shared" si="89"/>
        <v>19</v>
      </c>
      <c r="CM8" s="56">
        <f t="shared" si="90"/>
        <v>13.5</v>
      </c>
      <c r="CN8" s="57">
        <f t="shared" si="91"/>
        <v>3.375</v>
      </c>
      <c r="CO8" s="63">
        <f t="shared" si="92"/>
        <v>0.71052631578947367</v>
      </c>
      <c r="CP8" s="56">
        <f t="shared" si="93"/>
        <v>50</v>
      </c>
      <c r="CQ8" s="57">
        <f t="shared" si="94"/>
        <v>12.5</v>
      </c>
      <c r="CR8" s="56">
        <f t="shared" si="95"/>
        <v>36</v>
      </c>
      <c r="CS8" s="209">
        <f t="shared" si="96"/>
        <v>9</v>
      </c>
      <c r="CT8" s="210">
        <f t="shared" si="108"/>
        <v>34</v>
      </c>
      <c r="CU8" s="209">
        <f t="shared" si="97"/>
        <v>8.5</v>
      </c>
      <c r="CV8" s="63">
        <f t="shared" si="98"/>
        <v>0.72</v>
      </c>
      <c r="CW8" s="63">
        <f t="shared" si="99"/>
        <v>0.71739130434782605</v>
      </c>
      <c r="CX8" s="181">
        <f t="shared" si="100"/>
        <v>45.8</v>
      </c>
      <c r="CY8" s="182">
        <f t="shared" si="101"/>
        <v>11.45</v>
      </c>
      <c r="CZ8" s="183">
        <f t="shared" si="102"/>
        <v>58</v>
      </c>
      <c r="DA8" s="182">
        <f t="shared" si="103"/>
        <v>14.5</v>
      </c>
      <c r="DB8" s="183">
        <f t="shared" si="104"/>
        <v>42</v>
      </c>
      <c r="DC8" s="182">
        <f t="shared" si="105"/>
        <v>10.5</v>
      </c>
      <c r="DD8" s="182">
        <f t="shared" si="106"/>
        <v>8.8000000000000007</v>
      </c>
      <c r="DE8" s="62">
        <f t="shared" si="107"/>
        <v>7.23</v>
      </c>
      <c r="DF8" s="298"/>
      <c r="DG8" s="294" t="s">
        <v>888</v>
      </c>
      <c r="DH8" s="294" t="s">
        <v>727</v>
      </c>
      <c r="DI8" s="294">
        <v>31</v>
      </c>
      <c r="DJ8" s="392">
        <v>0</v>
      </c>
      <c r="DK8" s="294" t="s">
        <v>855</v>
      </c>
      <c r="DL8" s="294" t="s">
        <v>13</v>
      </c>
      <c r="DM8" s="294" t="s">
        <v>790</v>
      </c>
      <c r="DN8" s="295">
        <v>46173</v>
      </c>
      <c r="DO8" s="294" t="s">
        <v>889</v>
      </c>
      <c r="DP8" s="294">
        <v>360</v>
      </c>
      <c r="DQ8" s="294">
        <v>4</v>
      </c>
      <c r="DR8" s="294">
        <v>1</v>
      </c>
      <c r="DS8" s="294">
        <v>0</v>
      </c>
      <c r="DT8" s="294">
        <v>0</v>
      </c>
      <c r="DU8" s="294">
        <v>2</v>
      </c>
      <c r="DV8" s="294">
        <v>0</v>
      </c>
      <c r="DW8" s="294">
        <v>0</v>
      </c>
      <c r="DX8" s="294">
        <v>3</v>
      </c>
      <c r="DY8" s="294">
        <v>8.8000000000000007</v>
      </c>
      <c r="DZ8" s="294">
        <v>14.5</v>
      </c>
      <c r="EA8" s="294" t="s">
        <v>890</v>
      </c>
      <c r="EB8" s="294">
        <v>0</v>
      </c>
      <c r="EC8" s="294">
        <v>15</v>
      </c>
      <c r="ED8" s="294">
        <v>4</v>
      </c>
      <c r="EE8" s="294">
        <v>0.5</v>
      </c>
      <c r="EF8" s="294">
        <v>219</v>
      </c>
      <c r="EG8" s="294">
        <v>196</v>
      </c>
      <c r="EH8" s="294">
        <v>5</v>
      </c>
      <c r="EI8" s="294">
        <v>22</v>
      </c>
      <c r="EJ8" s="294">
        <v>0</v>
      </c>
      <c r="EK8" s="294">
        <v>0</v>
      </c>
      <c r="EL8" s="294">
        <v>27</v>
      </c>
      <c r="EM8" s="294">
        <v>8</v>
      </c>
      <c r="EN8" s="294">
        <v>3</v>
      </c>
      <c r="EO8" s="294">
        <v>8</v>
      </c>
      <c r="EP8" s="294">
        <v>7</v>
      </c>
      <c r="EQ8" s="294">
        <v>0</v>
      </c>
      <c r="ER8" s="294">
        <v>2</v>
      </c>
      <c r="ES8" s="294">
        <v>14</v>
      </c>
      <c r="ET8" s="294">
        <v>2</v>
      </c>
      <c r="EU8" s="294">
        <v>6</v>
      </c>
      <c r="EV8" s="294">
        <v>10</v>
      </c>
      <c r="EW8" s="294">
        <v>2</v>
      </c>
      <c r="EX8" s="294">
        <v>0</v>
      </c>
      <c r="EY8" s="294">
        <v>0</v>
      </c>
      <c r="EZ8" s="294">
        <v>0</v>
      </c>
      <c r="FA8" s="294">
        <v>0</v>
      </c>
      <c r="FB8" s="294">
        <v>1</v>
      </c>
      <c r="FC8" s="294" t="s">
        <v>891</v>
      </c>
      <c r="FD8" s="299">
        <v>7.23</v>
      </c>
    </row>
    <row r="9" spans="1:160" ht="24.95" customHeight="1" thickBot="1" x14ac:dyDescent="0.3">
      <c r="A9" s="29" t="str">
        <f t="shared" si="0"/>
        <v>8º</v>
      </c>
      <c r="B9" s="70" t="str">
        <f t="shared" si="1"/>
        <v>Capa</v>
      </c>
      <c r="C9" s="86" t="str">
        <f t="shared" si="2"/>
        <v>BRA</v>
      </c>
      <c r="D9" s="99" t="str">
        <f t="shared" si="3"/>
        <v>Pé Esquerdo</v>
      </c>
      <c r="E9" s="65" t="str">
        <f t="shared" si="4"/>
        <v>Ypiranga (AP)</v>
      </c>
      <c r="F9" s="166">
        <f t="shared" si="5"/>
        <v>1.71</v>
      </c>
      <c r="G9" s="168">
        <f t="shared" si="6"/>
        <v>33</v>
      </c>
      <c r="H9" s="304" t="str">
        <f t="shared" si="7"/>
        <v>€1,2m p/m</v>
      </c>
      <c r="I9" s="66">
        <f t="shared" si="8"/>
        <v>0</v>
      </c>
      <c r="J9" s="96">
        <f t="shared" si="9"/>
        <v>3.9299999999999997</v>
      </c>
      <c r="K9" s="146">
        <f t="shared" si="10"/>
        <v>3.8444444444444446</v>
      </c>
      <c r="L9" s="188">
        <f t="shared" si="11"/>
        <v>4</v>
      </c>
      <c r="M9" s="188">
        <f t="shared" si="12"/>
        <v>86.5</v>
      </c>
      <c r="N9" s="189">
        <f t="shared" si="13"/>
        <v>1</v>
      </c>
      <c r="O9" s="55">
        <f t="shared" si="14"/>
        <v>0</v>
      </c>
      <c r="P9" s="55">
        <f t="shared" si="15"/>
        <v>1</v>
      </c>
      <c r="Q9" s="55">
        <f t="shared" si="16"/>
        <v>1</v>
      </c>
      <c r="R9" s="57">
        <f t="shared" si="17"/>
        <v>0.26011560693641617</v>
      </c>
      <c r="S9" s="56">
        <f t="shared" si="18"/>
        <v>0</v>
      </c>
      <c r="T9" s="63">
        <f t="shared" si="19"/>
        <v>0</v>
      </c>
      <c r="U9" s="57">
        <f t="shared" si="20"/>
        <v>0.13</v>
      </c>
      <c r="V9" s="57">
        <f t="shared" si="21"/>
        <v>3.3815028901734101E-2</v>
      </c>
      <c r="W9" s="57">
        <f t="shared" si="22"/>
        <v>0.13</v>
      </c>
      <c r="X9" s="57">
        <f t="shared" si="23"/>
        <v>3.3815028901734101E-2</v>
      </c>
      <c r="Y9" s="57">
        <f t="shared" si="24"/>
        <v>1.49</v>
      </c>
      <c r="Z9" s="57">
        <f t="shared" si="25"/>
        <v>0.3875722543352601</v>
      </c>
      <c r="AA9" s="57">
        <f t="shared" si="26"/>
        <v>1.62</v>
      </c>
      <c r="AB9" s="57">
        <f t="shared" si="27"/>
        <v>0.42138728323699426</v>
      </c>
      <c r="AC9" s="56">
        <f t="shared" si="28"/>
        <v>0</v>
      </c>
      <c r="AD9" s="56">
        <f t="shared" si="29"/>
        <v>0</v>
      </c>
      <c r="AE9" s="56">
        <f t="shared" si="30"/>
        <v>0</v>
      </c>
      <c r="AF9" s="60">
        <f t="shared" si="31"/>
        <v>9.9999999999999995E-8</v>
      </c>
      <c r="AG9" s="56">
        <f t="shared" si="32"/>
        <v>12</v>
      </c>
      <c r="AH9" s="57">
        <f t="shared" si="33"/>
        <v>3.1213872832369942</v>
      </c>
      <c r="AI9" s="55">
        <f t="shared" si="34"/>
        <v>3</v>
      </c>
      <c r="AJ9" s="57">
        <f t="shared" si="35"/>
        <v>0.78034682080924855</v>
      </c>
      <c r="AK9" s="56">
        <f t="shared" si="36"/>
        <v>1</v>
      </c>
      <c r="AL9" s="57">
        <f t="shared" si="37"/>
        <v>0.26011560693641617</v>
      </c>
      <c r="AM9" s="114">
        <f t="shared" si="38"/>
        <v>0.25</v>
      </c>
      <c r="AN9" s="56">
        <f t="shared" si="39"/>
        <v>8</v>
      </c>
      <c r="AO9" s="57">
        <f t="shared" si="40"/>
        <v>2.0809248554913293</v>
      </c>
      <c r="AP9" s="56">
        <f t="shared" si="41"/>
        <v>33</v>
      </c>
      <c r="AQ9" s="57">
        <f t="shared" si="42"/>
        <v>8.5838150289017339</v>
      </c>
      <c r="AR9" s="56">
        <f t="shared" si="43"/>
        <v>8</v>
      </c>
      <c r="AS9" s="57">
        <f t="shared" si="44"/>
        <v>2.0809248554913293</v>
      </c>
      <c r="AT9" s="60">
        <f t="shared" si="45"/>
        <v>0.24242424242424243</v>
      </c>
      <c r="AU9" s="61">
        <f t="shared" si="46"/>
        <v>217</v>
      </c>
      <c r="AV9" s="62">
        <f t="shared" si="47"/>
        <v>56.445086705202307</v>
      </c>
      <c r="AW9" s="61">
        <f t="shared" si="48"/>
        <v>181</v>
      </c>
      <c r="AX9" s="62">
        <f t="shared" si="49"/>
        <v>47.080924855491325</v>
      </c>
      <c r="AY9" s="63">
        <f t="shared" si="50"/>
        <v>0.83410138248847931</v>
      </c>
      <c r="AZ9" s="61">
        <f t="shared" si="51"/>
        <v>47</v>
      </c>
      <c r="BA9" s="57">
        <f t="shared" si="52"/>
        <v>12.22543352601156</v>
      </c>
      <c r="BB9" s="57">
        <f t="shared" si="53"/>
        <v>6.0277777777777777</v>
      </c>
      <c r="BC9" s="56">
        <f t="shared" si="54"/>
        <v>192</v>
      </c>
      <c r="BD9" s="57">
        <f t="shared" si="55"/>
        <v>49.942196531791907</v>
      </c>
      <c r="BE9" s="56">
        <f t="shared" si="56"/>
        <v>25</v>
      </c>
      <c r="BF9" s="57">
        <f t="shared" si="57"/>
        <v>6.5028901734104041</v>
      </c>
      <c r="BG9" s="305">
        <f t="shared" si="58"/>
        <v>0.13020833333333334</v>
      </c>
      <c r="BH9" s="56">
        <f t="shared" si="59"/>
        <v>12</v>
      </c>
      <c r="BI9" s="57">
        <f t="shared" si="60"/>
        <v>3.1213872832369942</v>
      </c>
      <c r="BJ9" s="56">
        <f t="shared" si="61"/>
        <v>1</v>
      </c>
      <c r="BK9" s="57">
        <f t="shared" si="62"/>
        <v>0.26011560693641617</v>
      </c>
      <c r="BL9" s="59">
        <f t="shared" si="63"/>
        <v>8.3333333333333329E-2</v>
      </c>
      <c r="BM9" s="56">
        <f t="shared" si="64"/>
        <v>5</v>
      </c>
      <c r="BN9" s="57">
        <f t="shared" si="65"/>
        <v>1.300578034682081</v>
      </c>
      <c r="BO9" s="57">
        <f t="shared" si="66"/>
        <v>69.2</v>
      </c>
      <c r="BP9" s="57">
        <f t="shared" si="67"/>
        <v>69.2</v>
      </c>
      <c r="BQ9" s="57">
        <f t="shared" si="68"/>
        <v>1.49</v>
      </c>
      <c r="BR9" s="57">
        <f t="shared" si="69"/>
        <v>0.49</v>
      </c>
      <c r="BS9" s="306">
        <f t="shared" si="70"/>
        <v>7.49</v>
      </c>
      <c r="BT9" s="307">
        <f t="shared" si="71"/>
        <v>1.9482658959537573</v>
      </c>
      <c r="BU9" s="309">
        <f t="shared" si="72"/>
        <v>6</v>
      </c>
      <c r="BV9" s="310">
        <f t="shared" si="73"/>
        <v>1.5606936416184971</v>
      </c>
      <c r="BW9" s="56">
        <f t="shared" si="74"/>
        <v>0</v>
      </c>
      <c r="BX9" s="57">
        <f t="shared" si="75"/>
        <v>0</v>
      </c>
      <c r="BY9" s="306">
        <f t="shared" si="76"/>
        <v>0</v>
      </c>
      <c r="BZ9" s="307">
        <f t="shared" si="77"/>
        <v>0</v>
      </c>
      <c r="CA9" s="56">
        <f t="shared" si="78"/>
        <v>282</v>
      </c>
      <c r="CB9" s="57">
        <f t="shared" si="79"/>
        <v>73.352601156069369</v>
      </c>
      <c r="CC9" s="56">
        <f t="shared" si="80"/>
        <v>19</v>
      </c>
      <c r="CD9" s="57">
        <f t="shared" si="81"/>
        <v>4.9421965317919074</v>
      </c>
      <c r="CE9" s="56">
        <f t="shared" si="82"/>
        <v>13</v>
      </c>
      <c r="CF9" s="57">
        <f t="shared" si="83"/>
        <v>3.3815028901734103</v>
      </c>
      <c r="CG9" s="63">
        <f t="shared" si="84"/>
        <v>0.68421052631578949</v>
      </c>
      <c r="CH9" s="210">
        <f t="shared" si="85"/>
        <v>1.1533333333333333</v>
      </c>
      <c r="CI9" s="209">
        <f t="shared" si="86"/>
        <v>0.3</v>
      </c>
      <c r="CJ9" s="302">
        <f t="shared" si="87"/>
        <v>20.153333333333332</v>
      </c>
      <c r="CK9" s="303">
        <f t="shared" si="88"/>
        <v>5.2421965317919073</v>
      </c>
      <c r="CL9" s="56">
        <f t="shared" si="89"/>
        <v>24</v>
      </c>
      <c r="CM9" s="56">
        <f t="shared" si="90"/>
        <v>14.5</v>
      </c>
      <c r="CN9" s="57">
        <f t="shared" si="91"/>
        <v>3.7716763005780347</v>
      </c>
      <c r="CO9" s="63">
        <f t="shared" si="92"/>
        <v>0.60416666666666663</v>
      </c>
      <c r="CP9" s="56">
        <f t="shared" si="93"/>
        <v>51</v>
      </c>
      <c r="CQ9" s="57">
        <f t="shared" si="94"/>
        <v>13.265895953757225</v>
      </c>
      <c r="CR9" s="56">
        <f t="shared" si="95"/>
        <v>36.576666666666668</v>
      </c>
      <c r="CS9" s="209">
        <f t="shared" si="96"/>
        <v>9.5141618497109821</v>
      </c>
      <c r="CT9" s="210">
        <f t="shared" si="108"/>
        <v>55</v>
      </c>
      <c r="CU9" s="209">
        <f t="shared" si="97"/>
        <v>14.306358381502889</v>
      </c>
      <c r="CV9" s="63">
        <f t="shared" si="98"/>
        <v>0.71718954248366018</v>
      </c>
      <c r="CW9" s="63">
        <f t="shared" si="99"/>
        <v>0.6810222222222222</v>
      </c>
      <c r="CX9" s="181">
        <f t="shared" si="100"/>
        <v>41.8</v>
      </c>
      <c r="CY9" s="182">
        <f t="shared" si="101"/>
        <v>10.872832369942195</v>
      </c>
      <c r="CZ9" s="183">
        <f t="shared" si="102"/>
        <v>38.06</v>
      </c>
      <c r="DA9" s="182">
        <f t="shared" si="103"/>
        <v>9.9</v>
      </c>
      <c r="DB9" s="183">
        <f t="shared" si="104"/>
        <v>53</v>
      </c>
      <c r="DC9" s="182">
        <f t="shared" si="105"/>
        <v>13.786127167630058</v>
      </c>
      <c r="DD9" s="182">
        <f t="shared" si="106"/>
        <v>12.2</v>
      </c>
      <c r="DE9" s="62">
        <f t="shared" si="107"/>
        <v>7.05</v>
      </c>
      <c r="DF9" s="296"/>
      <c r="DG9" s="292" t="s">
        <v>902</v>
      </c>
      <c r="DH9" s="292" t="s">
        <v>781</v>
      </c>
      <c r="DI9" s="292">
        <v>33</v>
      </c>
      <c r="DJ9" s="393">
        <v>0</v>
      </c>
      <c r="DK9" s="292" t="s">
        <v>855</v>
      </c>
      <c r="DL9" s="292" t="s">
        <v>13</v>
      </c>
      <c r="DM9" s="292" t="s">
        <v>607</v>
      </c>
      <c r="DN9" s="293">
        <v>46173</v>
      </c>
      <c r="DO9" s="292" t="s">
        <v>903</v>
      </c>
      <c r="DP9" s="292">
        <v>346</v>
      </c>
      <c r="DQ9" s="292">
        <v>4</v>
      </c>
      <c r="DR9" s="292">
        <v>0</v>
      </c>
      <c r="DS9" s="292">
        <v>0</v>
      </c>
      <c r="DT9" s="292">
        <v>0</v>
      </c>
      <c r="DU9" s="292">
        <v>1</v>
      </c>
      <c r="DV9" s="292">
        <v>0</v>
      </c>
      <c r="DW9" s="292">
        <v>0</v>
      </c>
      <c r="DX9" s="292">
        <v>0</v>
      </c>
      <c r="DY9" s="292">
        <v>12.2</v>
      </c>
      <c r="DZ9" s="292">
        <v>9.9</v>
      </c>
      <c r="EA9" s="292" t="s">
        <v>904</v>
      </c>
      <c r="EB9" s="292" t="s">
        <v>897</v>
      </c>
      <c r="EC9" s="292">
        <v>19</v>
      </c>
      <c r="ED9" s="292">
        <v>13</v>
      </c>
      <c r="EE9" s="292">
        <v>0.3</v>
      </c>
      <c r="EF9" s="292">
        <v>217</v>
      </c>
      <c r="EG9" s="292">
        <v>181</v>
      </c>
      <c r="EH9" s="292">
        <v>5</v>
      </c>
      <c r="EI9" s="292">
        <v>25</v>
      </c>
      <c r="EJ9" s="292">
        <v>1</v>
      </c>
      <c r="EK9" s="292">
        <v>0</v>
      </c>
      <c r="EL9" s="292">
        <v>20</v>
      </c>
      <c r="EM9" s="292">
        <v>4</v>
      </c>
      <c r="EN9" s="292">
        <v>8</v>
      </c>
      <c r="EO9" s="292">
        <v>4</v>
      </c>
      <c r="EP9" s="292">
        <v>3</v>
      </c>
      <c r="EQ9" s="292">
        <v>0</v>
      </c>
      <c r="ER9" s="292">
        <v>1</v>
      </c>
      <c r="ES9" s="292">
        <v>16</v>
      </c>
      <c r="ET9" s="292">
        <v>1</v>
      </c>
      <c r="EU9" s="292">
        <v>2</v>
      </c>
      <c r="EV9" s="292">
        <v>12</v>
      </c>
      <c r="EW9" s="292">
        <v>1</v>
      </c>
      <c r="EX9" s="292">
        <v>0</v>
      </c>
      <c r="EY9" s="292">
        <v>0</v>
      </c>
      <c r="EZ9" s="292">
        <v>0</v>
      </c>
      <c r="FA9" s="292">
        <v>0</v>
      </c>
      <c r="FB9" s="292">
        <v>6</v>
      </c>
      <c r="FC9" s="292" t="s">
        <v>905</v>
      </c>
      <c r="FD9" s="297">
        <v>7.05</v>
      </c>
    </row>
    <row r="10" spans="1:160" ht="24.95" customHeight="1" thickBot="1" x14ac:dyDescent="0.3">
      <c r="A10" s="29" t="str">
        <f t="shared" si="0"/>
        <v>9º</v>
      </c>
      <c r="B10" s="70" t="str">
        <f t="shared" si="1"/>
        <v>Pedro Scaramussa</v>
      </c>
      <c r="C10" s="86" t="str">
        <f t="shared" si="2"/>
        <v>BRA</v>
      </c>
      <c r="D10" s="99" t="str">
        <f t="shared" si="3"/>
        <v>Somente Pé Esquerdo</v>
      </c>
      <c r="E10" s="65" t="str">
        <f t="shared" si="4"/>
        <v>Monte Azul</v>
      </c>
      <c r="F10" s="166">
        <f t="shared" si="5"/>
        <v>1.73</v>
      </c>
      <c r="G10" s="168">
        <f t="shared" si="6"/>
        <v>23</v>
      </c>
      <c r="H10" s="304" t="str">
        <f t="shared" si="7"/>
        <v>€1,9m p/m</v>
      </c>
      <c r="I10" s="66">
        <f t="shared" si="8"/>
        <v>0</v>
      </c>
      <c r="J10" s="96">
        <f t="shared" si="9"/>
        <v>3.9299999999999997</v>
      </c>
      <c r="K10" s="146">
        <f t="shared" si="10"/>
        <v>4.0888888888888886</v>
      </c>
      <c r="L10" s="188">
        <f t="shared" si="11"/>
        <v>6</v>
      </c>
      <c r="M10" s="188">
        <f t="shared" si="12"/>
        <v>61.333333333333336</v>
      </c>
      <c r="N10" s="189">
        <f t="shared" si="13"/>
        <v>0.5</v>
      </c>
      <c r="O10" s="55">
        <f t="shared" si="14"/>
        <v>0</v>
      </c>
      <c r="P10" s="55">
        <f t="shared" si="15"/>
        <v>1</v>
      </c>
      <c r="Q10" s="55">
        <f t="shared" si="16"/>
        <v>1</v>
      </c>
      <c r="R10" s="57">
        <f t="shared" si="17"/>
        <v>0.24456521739130438</v>
      </c>
      <c r="S10" s="56">
        <f t="shared" si="18"/>
        <v>1</v>
      </c>
      <c r="T10" s="63">
        <f t="shared" si="19"/>
        <v>0.24456521739130438</v>
      </c>
      <c r="U10" s="57">
        <f t="shared" si="20"/>
        <v>0.01</v>
      </c>
      <c r="V10" s="57">
        <f t="shared" si="21"/>
        <v>2.4456521739130437E-3</v>
      </c>
      <c r="W10" s="57">
        <f t="shared" si="22"/>
        <v>0.01</v>
      </c>
      <c r="X10" s="57">
        <f t="shared" si="23"/>
        <v>2.4456521739130437E-3</v>
      </c>
      <c r="Y10" s="57">
        <f t="shared" si="24"/>
        <v>0.4</v>
      </c>
      <c r="Z10" s="57">
        <f t="shared" si="25"/>
        <v>9.7826086956521757E-2</v>
      </c>
      <c r="AA10" s="57">
        <f t="shared" si="26"/>
        <v>0.41000000000000003</v>
      </c>
      <c r="AB10" s="57">
        <f t="shared" si="27"/>
        <v>0.1002717391304348</v>
      </c>
      <c r="AC10" s="56">
        <f t="shared" si="28"/>
        <v>0</v>
      </c>
      <c r="AD10" s="56">
        <f t="shared" si="29"/>
        <v>0</v>
      </c>
      <c r="AE10" s="56">
        <f t="shared" si="30"/>
        <v>0</v>
      </c>
      <c r="AF10" s="60">
        <f t="shared" si="31"/>
        <v>9.9999999999999995E-8</v>
      </c>
      <c r="AG10" s="56">
        <f t="shared" si="32"/>
        <v>16</v>
      </c>
      <c r="AH10" s="57">
        <f t="shared" si="33"/>
        <v>3.9130434782608701</v>
      </c>
      <c r="AI10" s="55">
        <f t="shared" si="34"/>
        <v>6</v>
      </c>
      <c r="AJ10" s="57">
        <f t="shared" si="35"/>
        <v>1.4673913043478262</v>
      </c>
      <c r="AK10" s="56">
        <f t="shared" si="36"/>
        <v>2</v>
      </c>
      <c r="AL10" s="57">
        <f t="shared" si="37"/>
        <v>0.48913043478260876</v>
      </c>
      <c r="AM10" s="114">
        <f t="shared" si="38"/>
        <v>0.375</v>
      </c>
      <c r="AN10" s="56">
        <f t="shared" si="39"/>
        <v>8</v>
      </c>
      <c r="AO10" s="57">
        <f t="shared" si="40"/>
        <v>1.956521739130435</v>
      </c>
      <c r="AP10" s="56">
        <f t="shared" si="41"/>
        <v>38</v>
      </c>
      <c r="AQ10" s="57">
        <f t="shared" si="42"/>
        <v>9.2934782608695663</v>
      </c>
      <c r="AR10" s="56">
        <f t="shared" si="43"/>
        <v>15</v>
      </c>
      <c r="AS10" s="57">
        <f t="shared" si="44"/>
        <v>3.6684782608695654</v>
      </c>
      <c r="AT10" s="60">
        <f t="shared" si="45"/>
        <v>0.39473684210526316</v>
      </c>
      <c r="AU10" s="61">
        <f t="shared" si="46"/>
        <v>243</v>
      </c>
      <c r="AV10" s="62">
        <f t="shared" si="47"/>
        <v>59.429347826086961</v>
      </c>
      <c r="AW10" s="61">
        <f t="shared" si="48"/>
        <v>215</v>
      </c>
      <c r="AX10" s="62">
        <f t="shared" si="49"/>
        <v>52.581521739130437</v>
      </c>
      <c r="AY10" s="63">
        <f t="shared" si="50"/>
        <v>0.8847736625514403</v>
      </c>
      <c r="AZ10" s="61">
        <f t="shared" si="51"/>
        <v>35</v>
      </c>
      <c r="BA10" s="57">
        <f t="shared" si="52"/>
        <v>8.5597826086956523</v>
      </c>
      <c r="BB10" s="57">
        <f t="shared" si="53"/>
        <v>8.6785714285714288</v>
      </c>
      <c r="BC10" s="56">
        <f t="shared" si="54"/>
        <v>210</v>
      </c>
      <c r="BD10" s="57">
        <f t="shared" si="55"/>
        <v>51.358695652173914</v>
      </c>
      <c r="BE10" s="56">
        <f t="shared" si="56"/>
        <v>33</v>
      </c>
      <c r="BF10" s="57">
        <f t="shared" si="57"/>
        <v>8.0706521739130448</v>
      </c>
      <c r="BG10" s="305">
        <f t="shared" si="58"/>
        <v>0.15714285714285714</v>
      </c>
      <c r="BH10" s="56">
        <f t="shared" si="59"/>
        <v>9</v>
      </c>
      <c r="BI10" s="57">
        <f t="shared" si="60"/>
        <v>2.2010869565217392</v>
      </c>
      <c r="BJ10" s="56">
        <f t="shared" si="61"/>
        <v>2</v>
      </c>
      <c r="BK10" s="57">
        <f t="shared" si="62"/>
        <v>0.48913043478260876</v>
      </c>
      <c r="BL10" s="59">
        <f t="shared" si="63"/>
        <v>0.22222222222222221</v>
      </c>
      <c r="BM10" s="56">
        <f t="shared" si="64"/>
        <v>5</v>
      </c>
      <c r="BN10" s="57">
        <f t="shared" si="65"/>
        <v>1.2228260869565217</v>
      </c>
      <c r="BO10" s="57">
        <f t="shared" si="66"/>
        <v>61.333333333333336</v>
      </c>
      <c r="BP10" s="57">
        <f t="shared" si="67"/>
        <v>73.599999999999994</v>
      </c>
      <c r="BQ10" s="57">
        <f t="shared" si="68"/>
        <v>0.4</v>
      </c>
      <c r="BR10" s="57">
        <f t="shared" si="69"/>
        <v>-0.6</v>
      </c>
      <c r="BS10" s="306">
        <f t="shared" si="70"/>
        <v>8.4</v>
      </c>
      <c r="BT10" s="307">
        <f t="shared" si="71"/>
        <v>2.054347826086957</v>
      </c>
      <c r="BU10" s="309">
        <f t="shared" si="72"/>
        <v>1</v>
      </c>
      <c r="BV10" s="310">
        <f t="shared" si="73"/>
        <v>0.24456521739130438</v>
      </c>
      <c r="BW10" s="56">
        <f t="shared" si="74"/>
        <v>0</v>
      </c>
      <c r="BX10" s="57">
        <f t="shared" si="75"/>
        <v>0</v>
      </c>
      <c r="BY10" s="306">
        <f t="shared" si="76"/>
        <v>0</v>
      </c>
      <c r="BZ10" s="307">
        <f t="shared" si="77"/>
        <v>0</v>
      </c>
      <c r="CA10" s="56">
        <f t="shared" si="78"/>
        <v>295</v>
      </c>
      <c r="CB10" s="57">
        <f t="shared" si="79"/>
        <v>72.146739130434781</v>
      </c>
      <c r="CC10" s="56">
        <f t="shared" si="80"/>
        <v>13</v>
      </c>
      <c r="CD10" s="57">
        <f t="shared" si="81"/>
        <v>3.179347826086957</v>
      </c>
      <c r="CE10" s="56">
        <f t="shared" si="82"/>
        <v>7</v>
      </c>
      <c r="CF10" s="57">
        <f t="shared" si="83"/>
        <v>1.7119565217391306</v>
      </c>
      <c r="CG10" s="63">
        <f t="shared" si="84"/>
        <v>0.53846153846153844</v>
      </c>
      <c r="CH10" s="210">
        <f t="shared" si="85"/>
        <v>0</v>
      </c>
      <c r="CI10" s="209">
        <f t="shared" si="86"/>
        <v>0</v>
      </c>
      <c r="CJ10" s="302">
        <f t="shared" si="87"/>
        <v>18</v>
      </c>
      <c r="CK10" s="303">
        <f t="shared" si="88"/>
        <v>4.4021739130434785</v>
      </c>
      <c r="CL10" s="56">
        <f t="shared" si="89"/>
        <v>17</v>
      </c>
      <c r="CM10" s="56">
        <f t="shared" si="90"/>
        <v>11.5</v>
      </c>
      <c r="CN10" s="57">
        <f t="shared" si="91"/>
        <v>2.8125</v>
      </c>
      <c r="CO10" s="63">
        <f t="shared" si="92"/>
        <v>0.67647058823529416</v>
      </c>
      <c r="CP10" s="56">
        <f t="shared" si="93"/>
        <v>55</v>
      </c>
      <c r="CQ10" s="57">
        <f t="shared" si="94"/>
        <v>13.45108695652174</v>
      </c>
      <c r="CR10" s="56">
        <f t="shared" si="95"/>
        <v>39</v>
      </c>
      <c r="CS10" s="209">
        <f t="shared" si="96"/>
        <v>9.538043478260871</v>
      </c>
      <c r="CT10" s="210">
        <f t="shared" si="108"/>
        <v>43</v>
      </c>
      <c r="CU10" s="209">
        <f t="shared" si="97"/>
        <v>10.516304347826088</v>
      </c>
      <c r="CV10" s="63">
        <f t="shared" si="98"/>
        <v>0.70909090909090911</v>
      </c>
      <c r="CW10" s="63">
        <f t="shared" si="99"/>
        <v>0.70138888888888884</v>
      </c>
      <c r="CX10" s="181">
        <f t="shared" si="100"/>
        <v>43.4</v>
      </c>
      <c r="CY10" s="182">
        <f t="shared" si="101"/>
        <v>10.614130434782609</v>
      </c>
      <c r="CZ10" s="183">
        <f t="shared" si="102"/>
        <v>44.977777777777774</v>
      </c>
      <c r="DA10" s="182">
        <f t="shared" si="103"/>
        <v>11</v>
      </c>
      <c r="DB10" s="183">
        <f t="shared" si="104"/>
        <v>41</v>
      </c>
      <c r="DC10" s="182">
        <f t="shared" si="105"/>
        <v>10.027173913043478</v>
      </c>
      <c r="DD10" s="182">
        <f t="shared" si="106"/>
        <v>9.8000000000000007</v>
      </c>
      <c r="DE10" s="62">
        <f t="shared" si="107"/>
        <v>6.92</v>
      </c>
      <c r="DF10" s="296" t="s">
        <v>19</v>
      </c>
      <c r="DG10" s="292" t="s">
        <v>877</v>
      </c>
      <c r="DH10" s="292" t="s">
        <v>614</v>
      </c>
      <c r="DI10" s="292">
        <v>23</v>
      </c>
      <c r="DJ10" s="393">
        <v>0</v>
      </c>
      <c r="DK10" s="292" t="s">
        <v>878</v>
      </c>
      <c r="DL10" s="292" t="s">
        <v>13</v>
      </c>
      <c r="DM10" s="292" t="s">
        <v>790</v>
      </c>
      <c r="DN10" s="293">
        <v>46128</v>
      </c>
      <c r="DO10" s="292" t="s">
        <v>879</v>
      </c>
      <c r="DP10" s="292">
        <v>368</v>
      </c>
      <c r="DQ10" s="292" t="s">
        <v>880</v>
      </c>
      <c r="DR10" s="292">
        <v>1</v>
      </c>
      <c r="DS10" s="292">
        <v>0</v>
      </c>
      <c r="DT10" s="292">
        <v>0</v>
      </c>
      <c r="DU10" s="292">
        <v>1</v>
      </c>
      <c r="DV10" s="292">
        <v>0</v>
      </c>
      <c r="DW10" s="292">
        <v>0</v>
      </c>
      <c r="DX10" s="292">
        <v>1</v>
      </c>
      <c r="DY10" s="292">
        <v>9.8000000000000007</v>
      </c>
      <c r="DZ10" s="292">
        <v>11</v>
      </c>
      <c r="EA10" s="292" t="s">
        <v>881</v>
      </c>
      <c r="EB10" s="292" t="s">
        <v>811</v>
      </c>
      <c r="EC10" s="292">
        <v>13</v>
      </c>
      <c r="ED10" s="292">
        <v>7</v>
      </c>
      <c r="EE10" s="292">
        <v>0</v>
      </c>
      <c r="EF10" s="292">
        <v>243</v>
      </c>
      <c r="EG10" s="292">
        <v>215</v>
      </c>
      <c r="EH10" s="292">
        <v>5</v>
      </c>
      <c r="EI10" s="292">
        <v>33</v>
      </c>
      <c r="EJ10" s="292">
        <v>1</v>
      </c>
      <c r="EK10" s="292">
        <v>0</v>
      </c>
      <c r="EL10" s="292">
        <v>16</v>
      </c>
      <c r="EM10" s="292">
        <v>3</v>
      </c>
      <c r="EN10" s="292">
        <v>8</v>
      </c>
      <c r="EO10" s="292">
        <v>8</v>
      </c>
      <c r="EP10" s="292">
        <v>6</v>
      </c>
      <c r="EQ10" s="292">
        <v>0</v>
      </c>
      <c r="ER10" s="292">
        <v>6</v>
      </c>
      <c r="ES10" s="292">
        <v>12</v>
      </c>
      <c r="ET10" s="292">
        <v>2</v>
      </c>
      <c r="EU10" s="292">
        <v>6</v>
      </c>
      <c r="EV10" s="292">
        <v>9</v>
      </c>
      <c r="EW10" s="292">
        <v>2</v>
      </c>
      <c r="EX10" s="292">
        <v>0</v>
      </c>
      <c r="EY10" s="292">
        <v>0</v>
      </c>
      <c r="EZ10" s="292">
        <v>0</v>
      </c>
      <c r="FA10" s="292">
        <v>0</v>
      </c>
      <c r="FB10" s="292">
        <v>1</v>
      </c>
      <c r="FC10" s="292" t="s">
        <v>882</v>
      </c>
      <c r="FD10" s="297">
        <v>6.92</v>
      </c>
    </row>
    <row r="11" spans="1:160" ht="24.95" customHeight="1" thickBot="1" x14ac:dyDescent="0.3">
      <c r="A11" s="29" t="str">
        <f t="shared" si="0"/>
        <v>10º</v>
      </c>
      <c r="B11" s="70" t="str">
        <f t="shared" si="1"/>
        <v>Ryan</v>
      </c>
      <c r="C11" s="86" t="str">
        <f t="shared" si="2"/>
        <v>BRA</v>
      </c>
      <c r="D11" s="99" t="str">
        <f t="shared" si="3"/>
        <v>Somente Pé Esquerdo</v>
      </c>
      <c r="E11" s="65" t="str">
        <f t="shared" si="4"/>
        <v>Patriotas (PR)</v>
      </c>
      <c r="F11" s="166">
        <f t="shared" si="5"/>
        <v>1.88</v>
      </c>
      <c r="G11" s="168">
        <f t="shared" si="6"/>
        <v>24</v>
      </c>
      <c r="H11" s="304" t="str">
        <f t="shared" si="7"/>
        <v>€1,2m p/m</v>
      </c>
      <c r="I11" s="66">
        <f t="shared" si="8"/>
        <v>0</v>
      </c>
      <c r="J11" s="96">
        <f t="shared" si="9"/>
        <v>3.9299999999999997</v>
      </c>
      <c r="K11" s="146">
        <f t="shared" si="10"/>
        <v>3</v>
      </c>
      <c r="L11" s="188">
        <f t="shared" si="11"/>
        <v>3</v>
      </c>
      <c r="M11" s="188">
        <f t="shared" si="12"/>
        <v>90</v>
      </c>
      <c r="N11" s="189">
        <f t="shared" si="13"/>
        <v>1</v>
      </c>
      <c r="O11" s="55">
        <f t="shared" si="14"/>
        <v>0</v>
      </c>
      <c r="P11" s="55">
        <f t="shared" si="15"/>
        <v>0</v>
      </c>
      <c r="Q11" s="55">
        <f t="shared" si="16"/>
        <v>0</v>
      </c>
      <c r="R11" s="57">
        <f t="shared" si="17"/>
        <v>0</v>
      </c>
      <c r="S11" s="56">
        <f t="shared" si="18"/>
        <v>0</v>
      </c>
      <c r="T11" s="63">
        <f t="shared" si="19"/>
        <v>0</v>
      </c>
      <c r="U11" s="57">
        <f t="shared" si="20"/>
        <v>0.42</v>
      </c>
      <c r="V11" s="57">
        <f t="shared" si="21"/>
        <v>0.13999999999999999</v>
      </c>
      <c r="W11" s="57">
        <f t="shared" si="22"/>
        <v>0.42</v>
      </c>
      <c r="X11" s="57">
        <f t="shared" si="23"/>
        <v>0.13999999999999999</v>
      </c>
      <c r="Y11" s="57">
        <f t="shared" si="24"/>
        <v>0.48</v>
      </c>
      <c r="Z11" s="57">
        <f t="shared" si="25"/>
        <v>0.16</v>
      </c>
      <c r="AA11" s="57">
        <f t="shared" si="26"/>
        <v>0.89999999999999991</v>
      </c>
      <c r="AB11" s="57">
        <f t="shared" si="27"/>
        <v>0.3</v>
      </c>
      <c r="AC11" s="56">
        <f t="shared" si="28"/>
        <v>0</v>
      </c>
      <c r="AD11" s="56">
        <f t="shared" si="29"/>
        <v>0</v>
      </c>
      <c r="AE11" s="56">
        <f t="shared" si="30"/>
        <v>0</v>
      </c>
      <c r="AF11" s="60">
        <f t="shared" si="31"/>
        <v>9.9999999999999995E-8</v>
      </c>
      <c r="AG11" s="56">
        <f t="shared" si="32"/>
        <v>7</v>
      </c>
      <c r="AH11" s="57">
        <f t="shared" si="33"/>
        <v>2.3333333333333335</v>
      </c>
      <c r="AI11" s="55">
        <f t="shared" si="34"/>
        <v>3</v>
      </c>
      <c r="AJ11" s="57">
        <f t="shared" si="35"/>
        <v>1</v>
      </c>
      <c r="AK11" s="56">
        <f t="shared" si="36"/>
        <v>3</v>
      </c>
      <c r="AL11" s="57">
        <f t="shared" si="37"/>
        <v>1</v>
      </c>
      <c r="AM11" s="114">
        <f t="shared" si="38"/>
        <v>0.42857142857142855</v>
      </c>
      <c r="AN11" s="56">
        <f t="shared" si="39"/>
        <v>1</v>
      </c>
      <c r="AO11" s="57">
        <f t="shared" si="40"/>
        <v>0.33333333333333331</v>
      </c>
      <c r="AP11" s="56">
        <f t="shared" si="41"/>
        <v>29</v>
      </c>
      <c r="AQ11" s="57">
        <f t="shared" si="42"/>
        <v>9.6666666666666661</v>
      </c>
      <c r="AR11" s="56">
        <f t="shared" si="43"/>
        <v>10</v>
      </c>
      <c r="AS11" s="57">
        <f t="shared" si="44"/>
        <v>3.3333333333333335</v>
      </c>
      <c r="AT11" s="60">
        <f t="shared" si="45"/>
        <v>0.34482758620689657</v>
      </c>
      <c r="AU11" s="61">
        <f t="shared" si="46"/>
        <v>156</v>
      </c>
      <c r="AV11" s="62">
        <f t="shared" si="47"/>
        <v>52</v>
      </c>
      <c r="AW11" s="61">
        <f t="shared" si="48"/>
        <v>143</v>
      </c>
      <c r="AX11" s="62">
        <f t="shared" si="49"/>
        <v>47.666666666666664</v>
      </c>
      <c r="AY11" s="63">
        <f t="shared" si="50"/>
        <v>0.91666666666666663</v>
      </c>
      <c r="AZ11" s="61">
        <f t="shared" si="51"/>
        <v>21</v>
      </c>
      <c r="BA11" s="57">
        <f t="shared" si="52"/>
        <v>7</v>
      </c>
      <c r="BB11" s="57">
        <f t="shared" si="53"/>
        <v>12</v>
      </c>
      <c r="BC11" s="56">
        <f t="shared" si="54"/>
        <v>141</v>
      </c>
      <c r="BD11" s="57">
        <f t="shared" si="55"/>
        <v>47</v>
      </c>
      <c r="BE11" s="56">
        <f t="shared" si="56"/>
        <v>15</v>
      </c>
      <c r="BF11" s="57">
        <f t="shared" si="57"/>
        <v>5</v>
      </c>
      <c r="BG11" s="305">
        <f t="shared" si="58"/>
        <v>0.10638297872340426</v>
      </c>
      <c r="BH11" s="56">
        <f t="shared" si="59"/>
        <v>8</v>
      </c>
      <c r="BI11" s="57">
        <f t="shared" si="60"/>
        <v>2.6666666666666665</v>
      </c>
      <c r="BJ11" s="56">
        <f t="shared" si="61"/>
        <v>0</v>
      </c>
      <c r="BK11" s="57">
        <f t="shared" si="62"/>
        <v>0</v>
      </c>
      <c r="BL11" s="59">
        <f t="shared" si="63"/>
        <v>0</v>
      </c>
      <c r="BM11" s="56">
        <f t="shared" si="64"/>
        <v>3</v>
      </c>
      <c r="BN11" s="57">
        <f t="shared" si="65"/>
        <v>1</v>
      </c>
      <c r="BO11" s="57">
        <f t="shared" si="66"/>
        <v>67.5</v>
      </c>
      <c r="BP11" s="57">
        <f t="shared" si="67"/>
        <v>90</v>
      </c>
      <c r="BQ11" s="57">
        <f t="shared" si="68"/>
        <v>0.48</v>
      </c>
      <c r="BR11" s="57">
        <f t="shared" si="69"/>
        <v>0.48</v>
      </c>
      <c r="BS11" s="306">
        <f t="shared" si="70"/>
        <v>4.4800000000000004</v>
      </c>
      <c r="BT11" s="307">
        <f t="shared" si="71"/>
        <v>1.4933333333333334</v>
      </c>
      <c r="BU11" s="309">
        <f t="shared" si="72"/>
        <v>1</v>
      </c>
      <c r="BV11" s="310">
        <f t="shared" si="73"/>
        <v>0.33333333333333331</v>
      </c>
      <c r="BW11" s="56">
        <f t="shared" si="74"/>
        <v>1</v>
      </c>
      <c r="BX11" s="57">
        <f t="shared" si="75"/>
        <v>0.33333333333333331</v>
      </c>
      <c r="BY11" s="306">
        <f t="shared" si="76"/>
        <v>0</v>
      </c>
      <c r="BZ11" s="307">
        <f t="shared" si="77"/>
        <v>0</v>
      </c>
      <c r="CA11" s="56">
        <f t="shared" si="78"/>
        <v>195</v>
      </c>
      <c r="CB11" s="57">
        <f t="shared" si="79"/>
        <v>65</v>
      </c>
      <c r="CC11" s="56">
        <f t="shared" si="80"/>
        <v>13</v>
      </c>
      <c r="CD11" s="57">
        <f t="shared" si="81"/>
        <v>4.333333333333333</v>
      </c>
      <c r="CE11" s="56">
        <f t="shared" si="82"/>
        <v>2</v>
      </c>
      <c r="CF11" s="57">
        <f t="shared" si="83"/>
        <v>0.66666666666666663</v>
      </c>
      <c r="CG11" s="63">
        <f t="shared" si="84"/>
        <v>0.15384615384615385</v>
      </c>
      <c r="CH11" s="210">
        <f t="shared" si="85"/>
        <v>0.89999999999999991</v>
      </c>
      <c r="CI11" s="209">
        <f t="shared" si="86"/>
        <v>0.3</v>
      </c>
      <c r="CJ11" s="302">
        <f t="shared" si="87"/>
        <v>17.399999999999999</v>
      </c>
      <c r="CK11" s="303">
        <f t="shared" si="88"/>
        <v>5.8</v>
      </c>
      <c r="CL11" s="56">
        <f t="shared" si="89"/>
        <v>16</v>
      </c>
      <c r="CM11" s="56">
        <f t="shared" si="90"/>
        <v>6.5</v>
      </c>
      <c r="CN11" s="57">
        <f t="shared" si="91"/>
        <v>2.1666666666666665</v>
      </c>
      <c r="CO11" s="63">
        <f t="shared" si="92"/>
        <v>0.40625</v>
      </c>
      <c r="CP11" s="56">
        <f t="shared" si="93"/>
        <v>38</v>
      </c>
      <c r="CQ11" s="57">
        <f t="shared" si="94"/>
        <v>12.666666666666666</v>
      </c>
      <c r="CR11" s="56">
        <f t="shared" si="95"/>
        <v>24.45</v>
      </c>
      <c r="CS11" s="209">
        <f t="shared" si="96"/>
        <v>8.15</v>
      </c>
      <c r="CT11" s="210">
        <f t="shared" si="108"/>
        <v>22</v>
      </c>
      <c r="CU11" s="209">
        <f t="shared" si="97"/>
        <v>7.333333333333333</v>
      </c>
      <c r="CV11" s="63">
        <f t="shared" si="98"/>
        <v>0.64342105263157889</v>
      </c>
      <c r="CW11" s="63">
        <f t="shared" si="99"/>
        <v>0.57314814814814818</v>
      </c>
      <c r="CX11" s="181">
        <f t="shared" si="100"/>
        <v>28.2</v>
      </c>
      <c r="CY11" s="182">
        <f t="shared" si="101"/>
        <v>9.4</v>
      </c>
      <c r="CZ11" s="183">
        <f t="shared" si="102"/>
        <v>27.900000000000002</v>
      </c>
      <c r="DA11" s="182">
        <f t="shared" si="103"/>
        <v>9.3000000000000007</v>
      </c>
      <c r="DB11" s="183">
        <f t="shared" si="104"/>
        <v>32</v>
      </c>
      <c r="DC11" s="182">
        <f t="shared" si="105"/>
        <v>10.666666666666666</v>
      </c>
      <c r="DD11" s="182">
        <f t="shared" si="106"/>
        <v>9.6999999999999993</v>
      </c>
      <c r="DE11" s="62">
        <f t="shared" si="107"/>
        <v>6.9</v>
      </c>
      <c r="DF11" s="296"/>
      <c r="DG11" s="292" t="s">
        <v>920</v>
      </c>
      <c r="DH11" s="292" t="s">
        <v>657</v>
      </c>
      <c r="DI11" s="292">
        <v>24</v>
      </c>
      <c r="DJ11" s="393">
        <v>0</v>
      </c>
      <c r="DK11" s="292" t="s">
        <v>855</v>
      </c>
      <c r="DL11" s="292" t="s">
        <v>13</v>
      </c>
      <c r="DM11" s="292" t="s">
        <v>790</v>
      </c>
      <c r="DN11" s="293">
        <v>46173</v>
      </c>
      <c r="DO11" s="292" t="s">
        <v>921</v>
      </c>
      <c r="DP11" s="292">
        <v>270</v>
      </c>
      <c r="DQ11" s="292">
        <v>3</v>
      </c>
      <c r="DR11" s="292">
        <v>0</v>
      </c>
      <c r="DS11" s="292">
        <v>0</v>
      </c>
      <c r="DT11" s="292">
        <v>0</v>
      </c>
      <c r="DU11" s="292">
        <v>0</v>
      </c>
      <c r="DV11" s="292">
        <v>0</v>
      </c>
      <c r="DW11" s="292">
        <v>0</v>
      </c>
      <c r="DX11" s="292">
        <v>1</v>
      </c>
      <c r="DY11" s="292">
        <v>9.6999999999999993</v>
      </c>
      <c r="DZ11" s="292">
        <v>9.3000000000000007</v>
      </c>
      <c r="EA11" s="292" t="s">
        <v>786</v>
      </c>
      <c r="EB11" s="292" t="s">
        <v>922</v>
      </c>
      <c r="EC11" s="292">
        <v>13</v>
      </c>
      <c r="ED11" s="292">
        <v>2</v>
      </c>
      <c r="EE11" s="292">
        <v>0.3</v>
      </c>
      <c r="EF11" s="292">
        <v>156</v>
      </c>
      <c r="EG11" s="292">
        <v>143</v>
      </c>
      <c r="EH11" s="292">
        <v>3</v>
      </c>
      <c r="EI11" s="292">
        <v>15</v>
      </c>
      <c r="EJ11" s="292">
        <v>3</v>
      </c>
      <c r="EK11" s="292">
        <v>0</v>
      </c>
      <c r="EL11" s="292">
        <v>21</v>
      </c>
      <c r="EM11" s="292">
        <v>5</v>
      </c>
      <c r="EN11" s="292">
        <v>1</v>
      </c>
      <c r="EO11" s="292">
        <v>6</v>
      </c>
      <c r="EP11" s="292">
        <v>3</v>
      </c>
      <c r="EQ11" s="292">
        <v>1</v>
      </c>
      <c r="ER11" s="292">
        <v>1</v>
      </c>
      <c r="ES11" s="292">
        <v>13</v>
      </c>
      <c r="ET11" s="292">
        <v>1</v>
      </c>
      <c r="EU11" s="292">
        <v>3</v>
      </c>
      <c r="EV11" s="292">
        <v>8</v>
      </c>
      <c r="EW11" s="292">
        <v>0</v>
      </c>
      <c r="EX11" s="292">
        <v>0</v>
      </c>
      <c r="EY11" s="292">
        <v>0</v>
      </c>
      <c r="EZ11" s="292">
        <v>0</v>
      </c>
      <c r="FA11" s="292">
        <v>0</v>
      </c>
      <c r="FB11" s="292">
        <v>1</v>
      </c>
      <c r="FC11" s="292" t="s">
        <v>923</v>
      </c>
      <c r="FD11" s="297">
        <v>6.9</v>
      </c>
    </row>
  </sheetData>
  <autoFilter ref="B1:FD6" xr:uid="{00000000-0001-0000-0200-000000000000}">
    <sortState xmlns:xlrd2="http://schemas.microsoft.com/office/spreadsheetml/2017/richdata2" ref="B2:FD11">
      <sortCondition descending="1" ref="CV1:CV6"/>
    </sortState>
  </autoFilter>
  <phoneticPr fontId="53" type="noConversion"/>
  <conditionalFormatting sqref="O1:O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5">
      <iconSet iconSet="4Arrows">
        <cfvo type="percent" val="0"/>
        <cfvo type="percent" val="25"/>
        <cfvo type="percent" val="50"/>
        <cfvo type="percent" val="75"/>
      </iconSet>
    </cfRule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805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  <cfRule type="colorScale" priority="50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817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  <cfRule type="colorScale" priority="50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2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2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O1048576">
    <cfRule type="colorScale" priority="50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Q1048576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S1048576">
    <cfRule type="colorScale" priority="509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iconSet" priority="2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iconSet" priority="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9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921">
      <colorScale>
        <cfvo type="min"/>
        <cfvo type="percentile" val="50"/>
        <cfvo type="max"/>
        <color theme="8" tint="0.79998168889431442"/>
        <color theme="8" tint="0.39997558519241921"/>
        <color theme="8" tint="-0.249977111117893"/>
      </colorScale>
    </cfRule>
  </conditionalFormatting>
  <conditionalFormatting sqref="AP1:AT1048576">
    <cfRule type="colorScale" priority="50928">
      <colorScale>
        <cfvo type="min"/>
        <cfvo type="percentile" val="50"/>
        <cfvo type="max"/>
        <color theme="7" tint="0.79998168889431442"/>
        <color theme="7" tint="0.59999389629810485"/>
        <color theme="7" tint="0.39997558519241921"/>
      </colorScale>
    </cfRule>
  </conditionalFormatting>
  <conditionalFormatting sqref="BM1:BM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8">
      <colorScale>
        <cfvo type="min"/>
        <cfvo type="percentile" val="50"/>
        <cfvo type="max"/>
        <color rgb="FFF8696B"/>
        <color theme="4" tint="0.39997558519241921"/>
        <color rgb="FF00B0F0"/>
      </colorScale>
    </cfRule>
  </conditionalFormatting>
  <conditionalFormatting sqref="Q1:Q1048576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S1048576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O1048576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170">
      <iconSet iconSet="3ArrowsGray" reverse="1">
        <cfvo type="percent" val="0"/>
        <cfvo type="percent" val="33"/>
        <cfvo type="percent" val="67"/>
      </iconSet>
    </cfRule>
    <cfRule type="colorScale" priority="277">
      <colorScale>
        <cfvo type="min"/>
        <cfvo type="max"/>
        <color rgb="FFFCFCFF"/>
        <color rgb="FFF8696B"/>
      </colorScale>
    </cfRule>
  </conditionalFormatting>
  <conditionalFormatting sqref="BA1:BA1048576">
    <cfRule type="colorScale" priority="278">
      <colorScale>
        <cfvo type="min"/>
        <cfvo type="max"/>
        <color rgb="FFFCFCFF"/>
        <color rgb="FFF8696B"/>
      </colorScale>
    </cfRule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:CL1048576">
    <cfRule type="iconSet" priority="26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N1048576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2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2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iconSet" priority="25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9">
      <colorScale>
        <cfvo type="min"/>
        <cfvo type="max"/>
        <color rgb="FFFCFCFF"/>
        <color rgb="FFF8696B"/>
      </colorScale>
    </cfRule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iconSet" priority="25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80">
      <colorScale>
        <cfvo type="min"/>
        <cfvo type="max"/>
        <color rgb="FFFCFCFF"/>
        <color rgb="FFF8696B"/>
      </colorScale>
    </cfRule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iconSet" priority="2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iconSet" priority="2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344">
      <colorScale>
        <cfvo type="num" val="6.6"/>
        <cfvo type="num" val="6.65"/>
        <cfvo type="num" val="7"/>
        <color rgb="FFF8696B"/>
        <color rgb="FFFFEB84"/>
        <color rgb="FF63BE7B"/>
      </colorScale>
    </cfRule>
    <cfRule type="iconSet" priority="352">
      <iconSet iconSet="3Arrows">
        <cfvo type="percent" val="0"/>
        <cfvo type="num" val="6.7"/>
        <cfvo type="num" val="7"/>
      </iconSet>
    </cfRule>
  </conditionalFormatting>
  <conditionalFormatting sqref="DE1:DE1048576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AB1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AB1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B1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">
    <cfRule type="colorScale" priority="325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B1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">
    <cfRule type="colorScale" priority="32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">
    <cfRule type="colorScale" priority="330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">
    <cfRule type="colorScale" priority="32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">
    <cfRule type="colorScale" priority="32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">
    <cfRule type="colorScale" priority="32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">
    <cfRule type="colorScale" priority="32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">
    <cfRule type="colorScale" priority="32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C1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">
    <cfRule type="colorScale" priority="317">
      <colorScale>
        <cfvo type="min"/>
        <cfvo type="max"/>
        <color rgb="FFFFEF9C"/>
        <color rgb="FF63BE7B"/>
      </colorScale>
    </cfRule>
  </conditionalFormatting>
  <conditionalFormatting sqref="AC1:AC1048576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max"/>
        <color rgb="FFFFEF9C"/>
        <color rgb="FF63BE7B"/>
      </colorScale>
    </cfRule>
  </conditionalFormatting>
  <conditionalFormatting sqref="AD2:AF1048576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F1048576">
    <cfRule type="colorScale" priority="310">
      <colorScale>
        <cfvo type="min"/>
        <cfvo type="max"/>
        <color rgb="FFFFEF9C"/>
        <color rgb="FF63BE7B"/>
      </colorScale>
    </cfRule>
  </conditionalFormatting>
  <conditionalFormatting sqref="AD1:AF1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F1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max"/>
        <color rgb="FFFFEF9C"/>
        <color rgb="FF63BE7B"/>
      </colorScale>
    </cfRule>
  </conditionalFormatting>
  <conditionalFormatting sqref="AE1">
    <cfRule type="colorScale" priority="305">
      <colorScale>
        <cfvo type="min"/>
        <cfvo type="max"/>
        <color rgb="FFFCFCFF"/>
        <color rgb="FFF8696B"/>
      </colorScale>
    </cfRule>
  </conditionalFormatting>
  <conditionalFormatting sqref="AF1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02">
      <colorScale>
        <cfvo type="min"/>
        <cfvo type="max"/>
        <color rgb="FFFCFCFF"/>
        <color rgb="FFF8696B"/>
      </colorScale>
    </cfRule>
  </conditionalFormatting>
  <conditionalFormatting sqref="AF1:AF1048576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{C9556B89-F02C-494E-8924-135F87758A8B}</x14:id>
        </ext>
      </extLst>
    </cfRule>
    <cfRule type="colorScale" priority="29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V1:V1048576">
    <cfRule type="dataBar" priority="2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{33F0FCFA-36D1-4279-B529-7B31F58C517D}</x14:id>
        </ext>
      </extLst>
    </cfRule>
    <cfRule type="colorScale" priority="29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W1:W1048576">
    <cfRule type="dataBar" priority="2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{953C22EF-0DA8-4FEF-8116-2565270667DC}</x14:id>
        </ext>
      </extLst>
    </cfRule>
    <cfRule type="colorScale" priority="29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X1:X1048576">
    <cfRule type="dataBar" priority="2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{3B384AA2-138D-4DBB-938B-E3D0EDF42314}</x14:id>
        </ext>
      </extLst>
    </cfRule>
    <cfRule type="colorScale" priority="29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Y1:Y1048576">
    <cfRule type="dataBar" priority="2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{864C00F7-7CF2-488B-A48D-7D7888BCE7F8}</x14:id>
        </ext>
      </extLst>
    </cfRule>
    <cfRule type="colorScale" priority="29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2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{F6A0A220-5AE8-4657-92AA-0F2E4724DFF0}</x14:id>
        </ext>
      </extLst>
    </cfRule>
    <cfRule type="colorScale" priority="29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2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{1F65FE95-19E7-45D1-8A6E-1BC9EC43E665}</x14:id>
        </ext>
      </extLst>
    </cfRule>
    <cfRule type="colorScale" priority="29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B1:AB1048576">
    <cfRule type="dataBar" priority="2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{B76FC543-0DC4-420D-B2D3-20A769E744B2}</x14:id>
        </ext>
      </extLst>
    </cfRule>
    <cfRule type="colorScale" priority="29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G2:G11">
    <cfRule type="colorScale" priority="763242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K1:AK1048576">
    <cfRule type="colorScale" priority="236">
      <colorScale>
        <cfvo type="min"/>
        <cfvo type="max"/>
        <color rgb="FFFCFCFF"/>
        <color rgb="FFF8696B"/>
      </colorScale>
    </cfRule>
  </conditionalFormatting>
  <conditionalFormatting sqref="AL1:AL1048576">
    <cfRule type="colorScale" priority="235">
      <colorScale>
        <cfvo type="min"/>
        <cfvo type="max"/>
        <color rgb="FFFCFCFF"/>
        <color rgb="FFF8696B"/>
      </colorScale>
    </cfRule>
  </conditionalFormatting>
  <conditionalFormatting sqref="CX1:CX1048576">
    <cfRule type="colorScale" priority="231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23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B1:DB1048576">
    <cfRule type="iconSet" priority="21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0">
      <colorScale>
        <cfvo type="min"/>
        <cfvo type="max"/>
        <color rgb="FFFCFCFF"/>
        <color rgb="FFF8696B"/>
      </colorScale>
    </cfRule>
  </conditionalFormatting>
  <conditionalFormatting sqref="DC1:DC1048576">
    <cfRule type="iconSet" priority="216">
      <iconSet iconSet="3Arrows" reverse="1">
        <cfvo type="percent" val="0"/>
        <cfvo type="percent" val="33"/>
        <cfvo type="percent" val="67"/>
      </iconSet>
    </cfRule>
    <cfRule type="colorScale" priority="219">
      <colorScale>
        <cfvo type="min"/>
        <cfvo type="max"/>
        <color rgb="FFFCFCFF"/>
        <color rgb="FFF8696B"/>
      </colorScale>
    </cfRule>
  </conditionalFormatting>
  <conditionalFormatting sqref="DD1:DD1048576">
    <cfRule type="iconSet" priority="21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0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09">
      <iconSet iconSet="3ArrowsGray">
        <cfvo type="percent" val="0"/>
        <cfvo type="percent" val="33"/>
        <cfvo type="percent" val="67"/>
      </iconSet>
    </cfRule>
  </conditionalFormatting>
  <conditionalFormatting sqref="T1:T1048576">
    <cfRule type="colorScale" priority="20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08">
      <iconSet iconSet="3ArrowsGray">
        <cfvo type="percent" val="0"/>
        <cfvo type="percent" val="33"/>
        <cfvo type="percent" val="67"/>
      </iconSet>
    </cfRule>
  </conditionalFormatting>
  <conditionalFormatting sqref="BQ1:BQ1048576">
    <cfRule type="colorScale" priority="193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{828E7614-D558-4A4A-BE37-DFA7F077EC1A}</x14:id>
        </ext>
      </extLst>
    </cfRule>
  </conditionalFormatting>
  <conditionalFormatting sqref="I1:I1048576">
    <cfRule type="containsText" dxfId="4" priority="192" operator="containsText" text="Desconhecido">
      <formula>NOT(ISERROR(SEARCH("Desconhecido",I1)))</formula>
    </cfRule>
  </conditionalFormatting>
  <conditionalFormatting sqref="DA1:DA1048576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180">
      <colorScale>
        <cfvo type="min"/>
        <cfvo type="max"/>
        <color rgb="FFFFEF9C"/>
        <color rgb="FF63BE7B"/>
      </colorScale>
    </cfRule>
  </conditionalFormatting>
  <conditionalFormatting sqref="L1:L1048576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76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N1:N1048576">
    <cfRule type="dataBar" priority="1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{E900F056-9E90-40A6-9CAC-59D7BCC49E47}</x14:id>
        </ext>
      </extLst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1">
    <cfRule type="colorScale" priority="172">
      <colorScale>
        <cfvo type="num" val="0"/>
        <cfvo type="num" val="1.75"/>
        <cfvo type="num" val="1.84"/>
        <color rgb="FFF8696B"/>
        <color rgb="FFFFEB84"/>
        <color rgb="FF63BE7B"/>
      </colorScale>
    </cfRule>
  </conditionalFormatting>
  <conditionalFormatting sqref="AZ1:AZ1048576">
    <cfRule type="colorScale" priority="171">
      <colorScale>
        <cfvo type="min"/>
        <cfvo type="max"/>
        <color rgb="FFFFAFAF"/>
        <color rgb="FFF8696B"/>
      </colorScale>
    </cfRule>
  </conditionalFormatting>
  <conditionalFormatting sqref="CA1:CA1048576">
    <cfRule type="iconSet" priority="1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3">
      <colorScale>
        <cfvo type="min"/>
        <cfvo type="max"/>
        <color rgb="FFFFEF9C"/>
        <color rgb="FF63BE7B"/>
      </colorScale>
    </cfRule>
  </conditionalFormatting>
  <conditionalFormatting sqref="CB1:CB1048576">
    <cfRule type="iconSet" priority="150">
      <iconSet iconSet="3Arrows">
        <cfvo type="percent" val="0"/>
        <cfvo type="percent" val="33"/>
        <cfvo type="percent" val="67"/>
      </iconSet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iconSet" priority="146">
      <iconSet iconSet="3ArrowsGray">
        <cfvo type="percent" val="0"/>
        <cfvo type="percent" val="33"/>
        <cfvo type="percent" val="67"/>
      </iconSet>
    </cfRule>
    <cfRule type="colorScale" priority="149">
      <colorScale>
        <cfvo type="min"/>
        <cfvo type="max"/>
        <color rgb="FFFFEF9C"/>
        <color rgb="FF63BE7B"/>
      </colorScale>
    </cfRule>
  </conditionalFormatting>
  <conditionalFormatting sqref="CE1:CE1048576">
    <cfRule type="iconSet" priority="145">
      <iconSet iconSet="3ArrowsGray">
        <cfvo type="percent" val="0"/>
        <cfvo type="percent" val="33"/>
        <cfvo type="percent" val="67"/>
      </iconSet>
    </cfRule>
    <cfRule type="colorScale" priority="148">
      <colorScale>
        <cfvo type="min"/>
        <cfvo type="max"/>
        <color rgb="FFFFEF9C"/>
        <color rgb="FF63BE7B"/>
      </colorScale>
    </cfRule>
  </conditionalFormatting>
  <conditionalFormatting sqref="CG1:CG1048576">
    <cfRule type="iconSet" priority="13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1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0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BO1:BO104857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1:BP1048576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1:BW1048576">
    <cfRule type="iconSet" priority="1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iconSet" priority="1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colorScale" priority="11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Z1:CZ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78">
      <iconSet iconSet="3ArrowsGray">
        <cfvo type="percent" val="0"/>
        <cfvo type="percent" val="33"/>
        <cfvo type="percent" val="67"/>
      </iconSet>
    </cfRule>
    <cfRule type="colorScale" priority="79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R1:CR1048576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{AB6A3896-9054-41C5-B4D3-CED4049B13F6}</x14:id>
        </ext>
      </extLst>
    </cfRule>
    <cfRule type="iconSet" priority="83">
      <iconSet iconSet="3ArrowsGray" reverse="1">
        <cfvo type="percent" val="0"/>
        <cfvo type="percent" val="33"/>
        <cfvo type="percent" val="67"/>
      </iconSet>
    </cfRule>
    <cfRule type="colorScale" priority="85">
      <colorScale>
        <cfvo type="min"/>
        <cfvo type="max"/>
        <color rgb="FFFCFCFF"/>
        <color rgb="FFF8696B"/>
      </colorScale>
    </cfRule>
  </conditionalFormatting>
  <conditionalFormatting sqref="CU1:CU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{ACF1B960-8F63-428D-A700-25AEB66F934D}</x14:id>
        </ext>
      </extLst>
    </cfRule>
    <cfRule type="iconSet" priority="82">
      <iconSet iconSet="3ArrowsGray" reverse="1">
        <cfvo type="percent" val="0"/>
        <cfvo type="percent" val="33"/>
        <cfvo type="percent" val="67"/>
      </iconSet>
    </cfRule>
    <cfRule type="colorScale" priority="84">
      <colorScale>
        <cfvo type="min"/>
        <cfvo type="max"/>
        <color rgb="FFFCFCFF"/>
        <color rgb="FFF8696B"/>
      </colorScale>
    </cfRule>
  </conditionalFormatting>
  <conditionalFormatting sqref="CV1:CV1048576">
    <cfRule type="iconSet" priority="80">
      <iconSet iconSet="3Arrows">
        <cfvo type="percent" val="0"/>
        <cfvo type="percent" val="33"/>
        <cfvo type="percent" val="67"/>
      </iconSet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76">
      <iconSet iconSet="3ArrowsGray">
        <cfvo type="percent" val="0"/>
        <cfvo type="percent" val="33"/>
        <cfvo type="percent" val="67"/>
      </iconSet>
    </cfRule>
    <cfRule type="colorScale" priority="7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H1:CH1048576">
    <cfRule type="iconSet" priority="69">
      <iconSet iconSet="3Arrows">
        <cfvo type="percent" val="0"/>
        <cfvo type="percent" val="33"/>
        <cfvo type="percent" val="67"/>
      </iconSe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iconSet" priority="68">
      <iconSet iconSet="3Arrows">
        <cfvo type="percent" val="0"/>
        <cfvo type="percent" val="33"/>
        <cfvo type="percent" val="67"/>
      </iconSet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">
      <colorScale>
        <cfvo type="min"/>
        <cfvo type="max"/>
        <color rgb="FFFFEF9C"/>
        <color rgb="FF63BE7B"/>
      </colorScale>
    </cfRule>
  </conditionalFormatting>
  <conditionalFormatting sqref="AV1:AV1048576">
    <cfRule type="iconSet" priority="5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">
      <colorScale>
        <cfvo type="min"/>
        <cfvo type="max"/>
        <color rgb="FFFFEF9C"/>
        <color rgb="FF63BE7B"/>
      </colorScale>
    </cfRule>
  </conditionalFormatting>
  <conditionalFormatting sqref="AW1:AW1048576"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T1048576 AJ1:AJ1048576">
    <cfRule type="colorScale" priority="2362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iconSet" priority="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iconSet" priority="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iconSet" priority="5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{5A030120-1816-4600-9BE4-3F68DB0809B6}</x14:id>
        </ext>
      </extLst>
    </cfRule>
    <cfRule type="colorScale" priority="48">
      <colorScale>
        <cfvo type="min"/>
        <cfvo type="percentile" val="50"/>
        <cfvo type="max"/>
        <color rgb="FFF8696B"/>
        <color theme="7" tint="0.59999389629810485"/>
        <color rgb="FF00B0F0"/>
      </colorScale>
    </cfRule>
  </conditionalFormatting>
  <conditionalFormatting sqref="CD1:CD1048576">
    <cfRule type="iconSet" priority="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4">
      <colorScale>
        <cfvo type="min"/>
        <cfvo type="max"/>
        <color rgb="FFFFEF9C"/>
        <color rgb="FF63BE7B"/>
      </colorScale>
    </cfRule>
  </conditionalFormatting>
  <conditionalFormatting sqref="CF1:CF1048576">
    <cfRule type="iconSet" priority="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max"/>
        <color rgb="FFFFEF9C"/>
        <color rgb="FF63BE7B"/>
      </colorScale>
    </cfRule>
  </conditionalFormatting>
  <conditionalFormatting sqref="BC1:BC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9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BF1:BF1048576">
    <cfRule type="iconSet" priority="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G1:BG104857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{8D722F36-64F3-441C-8517-CA38EE422AE9}</x14:id>
        </ext>
      </extLst>
    </cfRule>
  </conditionalFormatting>
  <conditionalFormatting sqref="BR1:BR1048576">
    <cfRule type="iconSet" priority="2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">
      <colorScale>
        <cfvo type="num" val="-9.9999999999999991E-22"/>
        <cfvo type="num" val="0"/>
        <cfvo type="num" val="1"/>
        <color rgb="FFF8696B"/>
        <color theme="4" tint="0.79998168889431442"/>
        <color rgb="FF00B0F0"/>
      </colorScale>
    </cfRule>
  </conditionalFormatting>
  <conditionalFormatting sqref="BS1:BS1048576">
    <cfRule type="dataBar" priority="21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{D13C0685-632B-4089-929A-700BF6AC574C}</x14:id>
        </ext>
      </extLst>
    </cfRule>
  </conditionalFormatting>
  <conditionalFormatting sqref="BT1:BT1048576">
    <cfRule type="dataBar" priority="20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{962866D0-D2AA-4C61-914D-7BFF31599013}</x14:id>
        </ext>
      </extLst>
    </cfRule>
  </conditionalFormatting>
  <conditionalFormatting sqref="BY1:BY1048576">
    <cfRule type="dataBar" priority="15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{42050A4E-B1A9-4C5E-9947-0A1D78E02C28}</x14:id>
        </ext>
      </extLst>
    </cfRule>
  </conditionalFormatting>
  <conditionalFormatting sqref="BZ1:BZ1048576">
    <cfRule type="dataBar" priority="14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{7E6A37C6-6FD7-4467-9B21-3F07A0185A98}</x14:id>
        </ext>
      </extLst>
    </cfRule>
  </conditionalFormatting>
  <conditionalFormatting sqref="BU1:BU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V1:BV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1:CJ1048576">
    <cfRule type="dataBar" priority="9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{CA99C9C1-0EFA-4E15-B951-5BAC2A0DB9F2}</x14:id>
        </ext>
      </extLst>
    </cfRule>
  </conditionalFormatting>
  <conditionalFormatting sqref="CK1:CK1048576">
    <cfRule type="dataBar" priority="8">
      <dataBar>
        <cfvo type="min"/>
        <cfvo type="max"/>
        <color rgb="FF399357"/>
      </dataBar>
      <extLst>
        <ext xmlns:x14="http://schemas.microsoft.com/office/spreadsheetml/2009/9/main" uri="{B025F937-C7B1-47D3-B67F-A62EFF666E3E}">
          <x14:id>{849200F5-9D75-4C2C-805D-EF45B98E4C81}</x14:id>
        </ext>
      </extLst>
    </cfRule>
  </conditionalFormatting>
  <conditionalFormatting sqref="DE12:DE1048576 DE1">
    <cfRule type="colorScale" priority="2620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1">
    <cfRule type="colorScale" priority="26209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1">
    <cfRule type="colorScale" priority="2620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6209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620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F11">
    <cfRule type="colorScale" priority="2620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556B89-F02C-494E-8924-135F87758A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33F0FCFA-36D1-4279-B529-7B31F58C51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953C22EF-0DA8-4FEF-8116-2565270667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3B384AA2-138D-4DBB-938B-E3D0EDF4231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864C00F7-7CF2-488B-A48D-7D7888BCE7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6A0A220-5AE8-4657-92AA-0F2E4724DF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1F65FE95-19E7-45D1-8A6E-1BC9EC43E66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B76FC543-0DC4-420D-B2D3-20A769E744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828E7614-D558-4A4A-BE37-DFA7F077EC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BQ1:BQ1048576</xm:sqref>
        </x14:conditionalFormatting>
        <x14:conditionalFormatting xmlns:xm="http://schemas.microsoft.com/office/excel/2006/main">
          <x14:cfRule type="dataBar" id="{E900F056-9E90-40A6-9CAC-59D7BCC49E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AB6A3896-9054-41C5-B4D3-CED4049B13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CT1:CT1048576</xm:sqref>
        </x14:conditionalFormatting>
        <x14:conditionalFormatting xmlns:xm="http://schemas.microsoft.com/office/excel/2006/main">
          <x14:cfRule type="dataBar" id="{ACF1B960-8F63-428D-A700-25AEB66F93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CU1:CU1048576</xm:sqref>
        </x14:conditionalFormatting>
        <x14:conditionalFormatting xmlns:xm="http://schemas.microsoft.com/office/excel/2006/main">
          <x14:cfRule type="dataBar" id="{5A030120-1816-4600-9BE4-3F68DB0809B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BL1:BL1048576</xm:sqref>
        </x14:conditionalFormatting>
        <x14:conditionalFormatting xmlns:xm="http://schemas.microsoft.com/office/excel/2006/main">
          <x14:cfRule type="dataBar" id="{8D722F36-64F3-441C-8517-CA38EE422A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D13C0685-632B-4089-929A-700BF6AC5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962866D0-D2AA-4C61-914D-7BFF315990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42050A4E-B1A9-4C5E-9947-0A1D78E02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BY1:BY1048576</xm:sqref>
        </x14:conditionalFormatting>
        <x14:conditionalFormatting xmlns:xm="http://schemas.microsoft.com/office/excel/2006/main">
          <x14:cfRule type="dataBar" id="{7E6A37C6-6FD7-4467-9B21-3F07A0185A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BZ1:BZ1048576</xm:sqref>
        </x14:conditionalFormatting>
        <x14:conditionalFormatting xmlns:xm="http://schemas.microsoft.com/office/excel/2006/main">
          <x14:cfRule type="dataBar" id="{CA99C9C1-0EFA-4E15-B951-5BAC2A0DB9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849200F5-9D75-4C2C-805D-EF45B98E4C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CK1:CK1048576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9" tint="-0.499984740745262"/>
  </sheetPr>
  <dimension ref="A1:EZ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0.7109375" customWidth="1"/>
    <col min="5" max="5" width="23" bestFit="1" customWidth="1"/>
    <col min="6" max="6" width="14.7109375" customWidth="1"/>
    <col min="7" max="7" width="15.7109375" customWidth="1"/>
    <col min="8" max="8" width="15.140625" customWidth="1"/>
    <col min="9" max="9" width="13.42578125" customWidth="1"/>
    <col min="10" max="10" width="17.28515625" bestFit="1" customWidth="1"/>
    <col min="11" max="11" width="15.7109375" customWidth="1"/>
    <col min="12" max="12" width="15.7109375" style="13" customWidth="1"/>
    <col min="13" max="15" width="18.7109375" style="13" customWidth="1"/>
    <col min="16" max="18" width="18.7109375" customWidth="1"/>
    <col min="19" max="20" width="18.7109375" style="13" customWidth="1"/>
    <col min="21" max="82" width="18.7109375" customWidth="1"/>
    <col min="83" max="83" width="13.140625" hidden="1" customWidth="1"/>
    <col min="84" max="88" width="18.7109375" customWidth="1"/>
    <col min="89" max="95" width="18.7109375" style="11" customWidth="1"/>
    <col min="96" max="96" width="18.7109375" style="351" customWidth="1"/>
    <col min="97" max="100" width="18.7109375" style="11" customWidth="1"/>
    <col min="101" max="102" width="18.7109375" customWidth="1"/>
    <col min="103" max="105" width="19.7109375" customWidth="1"/>
    <col min="106" max="109" width="18.7109375" customWidth="1"/>
    <col min="110" max="110" width="8.7109375" customWidth="1"/>
    <col min="111" max="111" width="10.7109375" style="1" customWidth="1"/>
    <col min="112" max="112" width="11.140625" style="1" customWidth="1"/>
    <col min="113" max="118" width="10.7109375" style="1" customWidth="1"/>
    <col min="119" max="119" width="11.5703125" style="1" customWidth="1"/>
    <col min="120" max="156" width="10.7109375" style="1" customWidth="1"/>
  </cols>
  <sheetData>
    <row r="1" spans="1:156" ht="50.1" customHeight="1" thickBot="1" x14ac:dyDescent="0.3">
      <c r="A1" s="112"/>
      <c r="B1" s="4" t="s">
        <v>20</v>
      </c>
      <c r="C1" s="4" t="s">
        <v>212</v>
      </c>
      <c r="D1" s="94" t="s">
        <v>230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120</v>
      </c>
      <c r="J1" s="4" t="s">
        <v>21</v>
      </c>
      <c r="K1" s="4" t="s">
        <v>229</v>
      </c>
      <c r="L1" s="4" t="s">
        <v>129</v>
      </c>
      <c r="M1" s="30" t="s">
        <v>415</v>
      </c>
      <c r="N1" s="30" t="s">
        <v>416</v>
      </c>
      <c r="O1" s="30" t="s">
        <v>419</v>
      </c>
      <c r="P1" s="221" t="s">
        <v>22</v>
      </c>
      <c r="Q1" s="221" t="s">
        <v>65</v>
      </c>
      <c r="R1" s="221" t="s">
        <v>66</v>
      </c>
      <c r="S1" s="98" t="s">
        <v>38</v>
      </c>
      <c r="T1" s="98" t="s">
        <v>411</v>
      </c>
      <c r="U1" s="104" t="s">
        <v>239</v>
      </c>
      <c r="V1" s="104" t="s">
        <v>236</v>
      </c>
      <c r="W1" s="105" t="s">
        <v>237</v>
      </c>
      <c r="X1" s="104" t="s">
        <v>238</v>
      </c>
      <c r="Y1" s="348" t="s">
        <v>69</v>
      </c>
      <c r="Z1" s="348" t="s">
        <v>486</v>
      </c>
      <c r="AA1" s="380" t="s">
        <v>67</v>
      </c>
      <c r="AB1" s="381" t="s">
        <v>64</v>
      </c>
      <c r="AC1" s="383" t="s">
        <v>68</v>
      </c>
      <c r="AD1" s="382" t="s">
        <v>784</v>
      </c>
      <c r="AE1" s="141" t="s">
        <v>1100</v>
      </c>
      <c r="AF1" s="141" t="s">
        <v>1099</v>
      </c>
      <c r="AG1" s="141" t="s">
        <v>97</v>
      </c>
      <c r="AH1" s="141" t="s">
        <v>101</v>
      </c>
      <c r="AI1" s="95" t="s">
        <v>223</v>
      </c>
      <c r="AJ1" s="95" t="s">
        <v>224</v>
      </c>
      <c r="AK1" s="95" t="s">
        <v>225</v>
      </c>
      <c r="AL1" s="95" t="s">
        <v>226</v>
      </c>
      <c r="AM1" s="95" t="s">
        <v>227</v>
      </c>
      <c r="AN1" s="172" t="s">
        <v>272</v>
      </c>
      <c r="AO1" s="172" t="s">
        <v>397</v>
      </c>
      <c r="AP1" s="172" t="s">
        <v>398</v>
      </c>
      <c r="AQ1" s="172" t="s">
        <v>269</v>
      </c>
      <c r="AR1" s="172" t="s">
        <v>435</v>
      </c>
      <c r="AS1" s="173" t="s">
        <v>97</v>
      </c>
      <c r="AT1" s="173" t="s">
        <v>399</v>
      </c>
      <c r="AU1" s="4" t="s">
        <v>77</v>
      </c>
      <c r="AV1" s="4" t="s">
        <v>46</v>
      </c>
      <c r="AW1" s="4" t="s">
        <v>154</v>
      </c>
      <c r="AX1" s="4" t="s">
        <v>78</v>
      </c>
      <c r="AY1" s="163" t="s">
        <v>27</v>
      </c>
      <c r="AZ1" s="163" t="s">
        <v>44</v>
      </c>
      <c r="BA1" s="4" t="s">
        <v>76</v>
      </c>
      <c r="BB1" s="38" t="s">
        <v>284</v>
      </c>
      <c r="BC1" s="38" t="s">
        <v>313</v>
      </c>
      <c r="BD1" s="38" t="s">
        <v>558</v>
      </c>
      <c r="BE1" s="38" t="s">
        <v>282</v>
      </c>
      <c r="BF1" s="80" t="s">
        <v>281</v>
      </c>
      <c r="BG1" s="16" t="s">
        <v>71</v>
      </c>
      <c r="BH1" s="16" t="s">
        <v>157</v>
      </c>
      <c r="BI1" s="16" t="s">
        <v>72</v>
      </c>
      <c r="BJ1" s="16" t="s">
        <v>559</v>
      </c>
      <c r="BK1" s="16" t="s">
        <v>296</v>
      </c>
      <c r="BL1" s="324" t="s">
        <v>73</v>
      </c>
      <c r="BM1" s="324" t="s">
        <v>560</v>
      </c>
      <c r="BN1" s="213" t="s">
        <v>457</v>
      </c>
      <c r="BO1" s="213" t="s">
        <v>458</v>
      </c>
      <c r="BP1" s="16" t="s">
        <v>60</v>
      </c>
      <c r="BQ1" s="39" t="s">
        <v>180</v>
      </c>
      <c r="BR1" s="39" t="s">
        <v>395</v>
      </c>
      <c r="BS1" s="39" t="s">
        <v>43</v>
      </c>
      <c r="BT1" s="39" t="s">
        <v>396</v>
      </c>
      <c r="BU1" s="142" t="s">
        <v>245</v>
      </c>
      <c r="BV1" s="142" t="s">
        <v>377</v>
      </c>
      <c r="BW1" s="39" t="s">
        <v>70</v>
      </c>
      <c r="BX1" s="51" t="s">
        <v>459</v>
      </c>
      <c r="BY1" s="51" t="s">
        <v>460</v>
      </c>
      <c r="BZ1" s="4" t="s">
        <v>75</v>
      </c>
      <c r="CA1" s="4" t="s">
        <v>79</v>
      </c>
      <c r="CB1" s="42" t="s">
        <v>374</v>
      </c>
      <c r="CC1" s="42" t="s">
        <v>235</v>
      </c>
      <c r="CD1" s="43" t="s">
        <v>130</v>
      </c>
      <c r="CE1" s="111" t="s">
        <v>472</v>
      </c>
      <c r="CF1" s="42" t="s">
        <v>473</v>
      </c>
      <c r="CG1" s="386" t="s">
        <v>276</v>
      </c>
      <c r="CH1" s="386" t="s">
        <v>308</v>
      </c>
      <c r="CI1" s="387" t="s">
        <v>307</v>
      </c>
      <c r="CJ1" s="387" t="s">
        <v>273</v>
      </c>
      <c r="CK1" s="389" t="s">
        <v>162</v>
      </c>
      <c r="CL1" s="120" t="s">
        <v>140</v>
      </c>
      <c r="CM1" s="119" t="s">
        <v>143</v>
      </c>
      <c r="CN1" s="119" t="s">
        <v>141</v>
      </c>
      <c r="CO1" s="119" t="s">
        <v>144</v>
      </c>
      <c r="CP1" s="319" t="s">
        <v>445</v>
      </c>
      <c r="CQ1" s="319" t="s">
        <v>446</v>
      </c>
      <c r="CR1" s="349" t="s">
        <v>142</v>
      </c>
      <c r="CS1" s="46" t="s">
        <v>167</v>
      </c>
      <c r="CT1" s="46" t="s">
        <v>451</v>
      </c>
      <c r="CU1" s="170" t="s">
        <v>392</v>
      </c>
      <c r="CV1" s="170" t="s">
        <v>130</v>
      </c>
      <c r="CW1" s="44" t="s">
        <v>343</v>
      </c>
      <c r="CX1" s="44" t="s">
        <v>344</v>
      </c>
      <c r="CY1" s="322" t="s">
        <v>425</v>
      </c>
      <c r="CZ1" s="405" t="s">
        <v>1144</v>
      </c>
      <c r="DA1" s="405" t="s">
        <v>1145</v>
      </c>
      <c r="DB1" s="43" t="s">
        <v>409</v>
      </c>
      <c r="DC1" s="43" t="s">
        <v>410</v>
      </c>
      <c r="DD1" s="43" t="s">
        <v>178</v>
      </c>
      <c r="DE1" s="118" t="s">
        <v>25</v>
      </c>
      <c r="DF1" s="289" t="s">
        <v>14</v>
      </c>
      <c r="DG1" s="290" t="s">
        <v>584</v>
      </c>
      <c r="DH1" s="290" t="s">
        <v>20</v>
      </c>
      <c r="DI1" s="290" t="s">
        <v>1</v>
      </c>
      <c r="DJ1" s="290" t="s">
        <v>0</v>
      </c>
      <c r="DK1" s="290" t="s">
        <v>29</v>
      </c>
      <c r="DL1" s="290" t="s">
        <v>40</v>
      </c>
      <c r="DM1" s="290" t="s">
        <v>2</v>
      </c>
      <c r="DN1" s="290" t="s">
        <v>3</v>
      </c>
      <c r="DO1" s="290" t="s">
        <v>88</v>
      </c>
      <c r="DP1" s="290" t="s">
        <v>585</v>
      </c>
      <c r="DQ1" s="290" t="s">
        <v>608</v>
      </c>
      <c r="DR1" s="290" t="s">
        <v>30</v>
      </c>
      <c r="DS1" s="290" t="s">
        <v>587</v>
      </c>
      <c r="DT1" s="290" t="s">
        <v>609</v>
      </c>
      <c r="DU1" s="290" t="s">
        <v>610</v>
      </c>
      <c r="DV1" s="290" t="s">
        <v>63</v>
      </c>
      <c r="DW1" s="290" t="s">
        <v>262</v>
      </c>
      <c r="DX1" s="290" t="s">
        <v>4</v>
      </c>
      <c r="DY1" s="290" t="s">
        <v>177</v>
      </c>
      <c r="DZ1" s="290" t="s">
        <v>164</v>
      </c>
      <c r="EA1" s="290" t="s">
        <v>603</v>
      </c>
      <c r="EB1" s="290" t="s">
        <v>11</v>
      </c>
      <c r="EC1" s="290" t="s">
        <v>17</v>
      </c>
      <c r="ED1" s="290" t="s">
        <v>185</v>
      </c>
      <c r="EE1" s="290" t="s">
        <v>15</v>
      </c>
      <c r="EF1" s="290" t="s">
        <v>16</v>
      </c>
      <c r="EG1" s="290" t="s">
        <v>606</v>
      </c>
      <c r="EH1" s="290" t="s">
        <v>605</v>
      </c>
      <c r="EI1" s="290" t="s">
        <v>8</v>
      </c>
      <c r="EJ1" s="290" t="s">
        <v>9</v>
      </c>
      <c r="EK1" s="290" t="s">
        <v>187</v>
      </c>
      <c r="EL1" s="290" t="s">
        <v>188</v>
      </c>
      <c r="EM1" s="290" t="s">
        <v>103</v>
      </c>
      <c r="EN1" s="290" t="s">
        <v>595</v>
      </c>
      <c r="EO1" s="290" t="s">
        <v>48</v>
      </c>
      <c r="EP1" s="290" t="s">
        <v>251</v>
      </c>
      <c r="EQ1" s="290" t="s">
        <v>41</v>
      </c>
      <c r="ER1" s="290" t="s">
        <v>234</v>
      </c>
      <c r="ES1" s="290" t="s">
        <v>49</v>
      </c>
      <c r="ET1" s="290" t="s">
        <v>604</v>
      </c>
      <c r="EU1" s="290" t="s">
        <v>163</v>
      </c>
      <c r="EV1" s="290" t="s">
        <v>611</v>
      </c>
      <c r="EW1" s="290" t="s">
        <v>5</v>
      </c>
      <c r="EX1" s="290" t="s">
        <v>102</v>
      </c>
      <c r="EY1" s="290" t="s">
        <v>18</v>
      </c>
      <c r="EZ1" s="291" t="s">
        <v>600</v>
      </c>
    </row>
    <row r="2" spans="1:156" ht="24.95" customHeight="1" thickBot="1" x14ac:dyDescent="0.3">
      <c r="A2" s="29" t="str">
        <f t="shared" ref="A2:A11" si="0">ROW()-1 &amp; "º"</f>
        <v>1º</v>
      </c>
      <c r="B2" s="69" t="str">
        <f>DH2</f>
        <v>Boubacar Kamara</v>
      </c>
      <c r="C2" s="86" t="str">
        <f>DG2</f>
        <v>FRA</v>
      </c>
      <c r="D2" s="99" t="str">
        <f>DL2</f>
        <v>Pé Direito</v>
      </c>
      <c r="E2" s="28" t="str">
        <f>DJ2</f>
        <v>Aston Villa</v>
      </c>
      <c r="F2" s="166">
        <f>IFERROR(SUBSTITUTE(DK2," cm","")/100,0)</f>
        <v>1.84</v>
      </c>
      <c r="G2" s="36">
        <f>DI2</f>
        <v>26</v>
      </c>
      <c r="H2" s="316" t="str">
        <f>DN2</f>
        <v>€758m p/m</v>
      </c>
      <c r="I2" s="35">
        <f>IF(DO2="-", "Sem Data Final", DO2)</f>
        <v>47664</v>
      </c>
      <c r="J2" s="199" t="str">
        <f>DM2</f>
        <v>€44M - €67M</v>
      </c>
      <c r="K2" s="96">
        <f>AVERAGE(L:L)</f>
        <v>23.994444444444444</v>
      </c>
      <c r="L2" s="144">
        <f>DP2/90</f>
        <v>34.533333333333331</v>
      </c>
      <c r="M2" s="144">
        <f>IF(ISERROR(FIND("(",DQ2)), VALUE(DQ2), VALUE(LEFT(DQ2,FIND("(",DQ2)-2)) + VALUE(MID(DQ2,FIND("(",DQ2)+1,FIND(")",DQ2)-FIND("(",DQ2)-1)))</f>
        <v>38</v>
      </c>
      <c r="N2" s="144">
        <f>IFERROR(DP2/M2,0)</f>
        <v>81.78947368421052</v>
      </c>
      <c r="O2" s="184">
        <f>IFERROR(IF(ISERROR(FIND("(",DQ2)), "100%", TEXT(VALUE(LEFT(DQ2,FIND("(",DQ2)-2)) / (VALUE(LEFT(DQ2,FIND("(",DQ2)-2)) + VALUE(MID(DQ2,FIND("(",DQ2)+1,FIND(")",DQ2)-FIND("(",DQ2)-1))),"0%")),0)*1</f>
        <v>1</v>
      </c>
      <c r="P2" s="2">
        <f>DT2</f>
        <v>0</v>
      </c>
      <c r="Q2" s="2">
        <f>DU2</f>
        <v>5</v>
      </c>
      <c r="R2" s="2">
        <f>IFERROR(P2+Q2,0)</f>
        <v>5</v>
      </c>
      <c r="S2" s="6">
        <f>DR2</f>
        <v>2</v>
      </c>
      <c r="T2" s="21">
        <f>IFERROR((S2*1)/L2,0)</f>
        <v>5.7915057915057917E-2</v>
      </c>
      <c r="U2" s="56">
        <f>EW2</f>
        <v>0</v>
      </c>
      <c r="V2" s="56">
        <f>EX2</f>
        <v>0</v>
      </c>
      <c r="W2" s="56">
        <f>IFERROR(U2-V2,0)</f>
        <v>0</v>
      </c>
      <c r="X2" s="60">
        <f>IFERROR((V2*1)/U2,0.0000001)</f>
        <v>9.9999999999999995E-8</v>
      </c>
      <c r="Y2" s="338">
        <f>EA2</f>
        <v>20</v>
      </c>
      <c r="Z2" s="315">
        <f>IFERROR(Y2/L2,0)</f>
        <v>0.57915057915057921</v>
      </c>
      <c r="AA2" s="2">
        <f>DV2</f>
        <v>7</v>
      </c>
      <c r="AB2" s="2">
        <f>DW2</f>
        <v>0</v>
      </c>
      <c r="AC2" s="2">
        <f>IFERROR(DV2+DW2,0)</f>
        <v>7</v>
      </c>
      <c r="AD2" s="5">
        <f>AC2/L2</f>
        <v>0.20270270270270271</v>
      </c>
      <c r="AE2" s="402">
        <f>IFERROR(EA2/(DV2),50)</f>
        <v>2.8571428571428572</v>
      </c>
      <c r="AF2" s="402">
        <f>IFERROR(EA2/(DV2+DW2),50)</f>
        <v>2.8571428571428572</v>
      </c>
      <c r="AG2" s="2">
        <f>Y2-(AA2+AB2)</f>
        <v>13</v>
      </c>
      <c r="AH2" s="21">
        <f>IFERROR((AC2*1)/Y2,0)</f>
        <v>0.35</v>
      </c>
      <c r="AI2" s="208">
        <f>EK2</f>
        <v>207</v>
      </c>
      <c r="AJ2" s="196">
        <f>IFERROR(AI2/L2,0)</f>
        <v>5.9942084942084941</v>
      </c>
      <c r="AK2" s="208">
        <f>EL2</f>
        <v>47</v>
      </c>
      <c r="AL2" s="196">
        <f>IFERROR(AK2/L2,0)</f>
        <v>1.3610038610038611</v>
      </c>
      <c r="AM2" s="21">
        <f>IFERROR(AK2/AI2,0)</f>
        <v>0.22705314009661837</v>
      </c>
      <c r="AN2" s="6">
        <f>IFERROR(EB2+EM2+EA2,0)</f>
        <v>194</v>
      </c>
      <c r="AO2" s="5">
        <f>IFERROR(AN2/L2,0)</f>
        <v>5.6177606177606183</v>
      </c>
      <c r="AP2" s="6">
        <f>IFERROR(EC2+EN2+EO2,0)</f>
        <v>104</v>
      </c>
      <c r="AQ2" s="5">
        <f>IFERROR(AP2/L2,0)</f>
        <v>3.0115830115830118</v>
      </c>
      <c r="AR2" s="21">
        <f>IFERROR((AP2*1)/AN2,0)</f>
        <v>0.53608247422680411</v>
      </c>
      <c r="AS2" s="2">
        <f>IFERROR(EA2-DV2-DW2,0)</f>
        <v>13</v>
      </c>
      <c r="AT2" s="21">
        <f>IFERROR((AS2*1)/EA2,0)</f>
        <v>0.65</v>
      </c>
      <c r="AU2" s="6">
        <f>EE2</f>
        <v>2314</v>
      </c>
      <c r="AV2" s="6">
        <f>EF2</f>
        <v>2104</v>
      </c>
      <c r="AW2" s="5">
        <f>IFERROR((AV2/L2),0)</f>
        <v>60.926640926640928</v>
      </c>
      <c r="AX2" s="5">
        <f>IFERROR((AV2-AY2)/(DP2/90),0)</f>
        <v>54.845559845559848</v>
      </c>
      <c r="AY2" s="6">
        <f>AU2-AV2</f>
        <v>210</v>
      </c>
      <c r="AZ2" s="5">
        <f>IFERROR(AY2/L2,0)</f>
        <v>6.0810810810810816</v>
      </c>
      <c r="BA2" s="20">
        <f>IFERROR((EF2*1)/EE2,0)</f>
        <v>0.90924805531547104</v>
      </c>
      <c r="BB2" s="317">
        <f>(EE2-EH2)</f>
        <v>2049</v>
      </c>
      <c r="BC2" s="5">
        <f>IFERROR(BB2/L2,0)</f>
        <v>59.333976833976834</v>
      </c>
      <c r="BD2" s="6">
        <f>EH2</f>
        <v>265</v>
      </c>
      <c r="BE2" s="5">
        <f>IFERROR(BD2/L2,0)</f>
        <v>7.6737451737451741</v>
      </c>
      <c r="BF2" s="21">
        <f>IFERROR((BD2*1)/BB2,0)</f>
        <v>0.12933138116154222</v>
      </c>
      <c r="BG2" s="6">
        <f>EB2</f>
        <v>127</v>
      </c>
      <c r="BH2" s="5">
        <f>IFERROR(BG2/L2,0)</f>
        <v>3.6776061776061777</v>
      </c>
      <c r="BI2" s="6">
        <f>EC2</f>
        <v>67</v>
      </c>
      <c r="BJ2" s="5">
        <f>IFERROR(BI2/L2,0)</f>
        <v>1.9401544401544402</v>
      </c>
      <c r="BK2" s="21">
        <f>IFERROR(EC2/EB2,0)</f>
        <v>0.52755905511811019</v>
      </c>
      <c r="BL2" s="6">
        <f>EB2-EC2</f>
        <v>60</v>
      </c>
      <c r="BM2" s="5">
        <f>IFERROR(BL2/L2,0)</f>
        <v>1.7374517374517375</v>
      </c>
      <c r="BN2" s="6">
        <f>IFERROR((BO2*L2),0)</f>
        <v>10.36</v>
      </c>
      <c r="BO2" s="5">
        <f>ED2</f>
        <v>0.3</v>
      </c>
      <c r="BP2" s="21">
        <f>IFERROR((BI2*1)/BG2,0)</f>
        <v>0.52755905511811019</v>
      </c>
      <c r="BQ2" s="6">
        <f>EM2+EA2</f>
        <v>67</v>
      </c>
      <c r="BR2" s="5">
        <f>IFERROR(BQ2/L2,0)</f>
        <v>1.9401544401544402</v>
      </c>
      <c r="BS2" s="6">
        <f>EN2</f>
        <v>36</v>
      </c>
      <c r="BT2" s="5">
        <f>IFERROR(BS2/L2,0)</f>
        <v>1.0424710424710426</v>
      </c>
      <c r="BU2" s="6">
        <f>EM2-EN2</f>
        <v>11</v>
      </c>
      <c r="BV2" s="5">
        <f>IFERROR(BU2/L2,0)</f>
        <v>0.31853281853281856</v>
      </c>
      <c r="BW2" s="21">
        <f>IFERROR((BS2*1)/BQ2,0)</f>
        <v>0.53731343283582089</v>
      </c>
      <c r="BX2" s="6">
        <f>EO2</f>
        <v>1</v>
      </c>
      <c r="BY2" s="5">
        <f>IFERROR(BX2/L2,0)</f>
        <v>2.8957528957528959E-2</v>
      </c>
      <c r="BZ2" s="2">
        <f>EG2</f>
        <v>16</v>
      </c>
      <c r="CA2" s="5">
        <f>IFERROR(BZ2/L2,0)</f>
        <v>0.46332046332046334</v>
      </c>
      <c r="CB2" s="6">
        <f>IFERROR(EQ2+EP2+ER2+EO2+(EU2*L2),0)</f>
        <v>685.89333333333332</v>
      </c>
      <c r="CC2" s="5">
        <f>IFERROR(CB2/L2,0)</f>
        <v>19.861776061776062</v>
      </c>
      <c r="CD2" s="5">
        <f>IFERROR((DX2+EG2+DU2)/L2,0)</f>
        <v>0.78185328185328185</v>
      </c>
      <c r="CE2" s="6">
        <f>SUM(EN:EN)</f>
        <v>233</v>
      </c>
      <c r="CF2" s="390">
        <f>IFERROR((EN2*1)/CE2,0)</f>
        <v>0.15450643776824036</v>
      </c>
      <c r="CG2" s="384">
        <f>ER2+EQ2+ES2+EP2</f>
        <v>141</v>
      </c>
      <c r="CH2" s="385">
        <f>IFERROR(CG2/L2,0)</f>
        <v>4.083011583011583</v>
      </c>
      <c r="CI2" s="384">
        <f>EL2+EN2+(EO2*0.5)</f>
        <v>83.5</v>
      </c>
      <c r="CJ2" s="385">
        <f>IFERROR(CI2/L2,0)</f>
        <v>2.4179536679536682</v>
      </c>
      <c r="CK2" s="388">
        <f>EU2</f>
        <v>16.3</v>
      </c>
      <c r="CL2" s="61">
        <f>IFERROR((DS2*3)+(DV2*1.5)+(DW2*2)+EM2+EQ2+ES2+EP2+ER2+EA2+(BN2*0.5),0)</f>
        <v>223.68</v>
      </c>
      <c r="CM2" s="62">
        <f>IFERROR(CL2/L2,0)</f>
        <v>6.4772200772200774</v>
      </c>
      <c r="CN2" s="61">
        <f>IFERROR(EN2+EQ2+EO2+ES2+EP2+ER2+(BN2*0.5),0)</f>
        <v>183.18</v>
      </c>
      <c r="CO2" s="62">
        <f>IFERROR(CN2/L2,0)</f>
        <v>5.3044401544401545</v>
      </c>
      <c r="CP2" s="320">
        <f>IFERROR((DS2*3)+(DV2*1.25)+(DW2*2)+EA2+AY2,0)</f>
        <v>238.75</v>
      </c>
      <c r="CQ2" s="321">
        <f>CP2/L2</f>
        <v>6.913610038610039</v>
      </c>
      <c r="CR2" s="350">
        <f>IFERROR(CN2/CL2,0)</f>
        <v>0.81893776824034337</v>
      </c>
      <c r="CS2" s="191">
        <f>IFERROR(SUBSTITUTE(DZ2,".","," ),0)*1</f>
        <v>4.12</v>
      </c>
      <c r="CT2" s="191">
        <f>IFERROR(CS2/EG2,0)</f>
        <v>0.25750000000000001</v>
      </c>
      <c r="CU2" s="6">
        <f>IFERROR(EG2+DX2,0)</f>
        <v>22</v>
      </c>
      <c r="CV2" s="62">
        <f>IFERROR(CU2/L2,0)</f>
        <v>0.63706563706563712</v>
      </c>
      <c r="CW2" s="5">
        <f>IFERROR(VALUE(SUBSTITUTE(EY2, " km", "")),0)</f>
        <v>406.2</v>
      </c>
      <c r="CX2" s="5">
        <f>IFERROR(CW2/L2,0)</f>
        <v>11.762548262548263</v>
      </c>
      <c r="CY2" s="323">
        <f>IFERROR((((CW2*1000)/(DP2*60))*3600)/1000,0)</f>
        <v>7.8416988416988413</v>
      </c>
      <c r="CZ2" s="406">
        <f>CW2/(EN2+EL2+EQ2+EP2+(EO2*1.5))</f>
        <v>2.0158808933002481</v>
      </c>
      <c r="DA2" s="407">
        <f>(EC2+EN2)/CW2</f>
        <v>0.25356967011324472</v>
      </c>
      <c r="DB2" s="180">
        <f>IFERROR((EE2-EF2)+(EB2-EC2)+(EI2-EJ2),0)</f>
        <v>287</v>
      </c>
      <c r="DC2" s="117">
        <f>IFERROR(DB2/L2,0)</f>
        <v>8.3108108108108105</v>
      </c>
      <c r="DD2" s="117">
        <f>DY2</f>
        <v>3.9</v>
      </c>
      <c r="DE2" s="117">
        <f>IFERROR(VALUE(SUBSTITUTE(EZ2, ".", ",")),0)</f>
        <v>7.09</v>
      </c>
      <c r="DF2" s="298" t="s">
        <v>19</v>
      </c>
      <c r="DG2" s="294" t="s">
        <v>642</v>
      </c>
      <c r="DH2" s="294" t="s">
        <v>996</v>
      </c>
      <c r="DI2" s="294">
        <v>26</v>
      </c>
      <c r="DJ2" s="294" t="s">
        <v>997</v>
      </c>
      <c r="DK2" s="294" t="s">
        <v>556</v>
      </c>
      <c r="DL2" s="294" t="s">
        <v>601</v>
      </c>
      <c r="DM2" s="294" t="s">
        <v>998</v>
      </c>
      <c r="DN2" s="294" t="s">
        <v>999</v>
      </c>
      <c r="DO2" s="295">
        <v>47664</v>
      </c>
      <c r="DP2" s="294">
        <v>3108</v>
      </c>
      <c r="DQ2" s="294">
        <v>38</v>
      </c>
      <c r="DR2" s="294">
        <v>2</v>
      </c>
      <c r="DS2" s="294">
        <v>0</v>
      </c>
      <c r="DT2" s="294">
        <v>0</v>
      </c>
      <c r="DU2" s="294">
        <v>5</v>
      </c>
      <c r="DV2" s="294">
        <v>7</v>
      </c>
      <c r="DW2" s="294">
        <v>0</v>
      </c>
      <c r="DX2" s="294">
        <v>6</v>
      </c>
      <c r="DY2" s="294">
        <v>3.9</v>
      </c>
      <c r="DZ2" s="294" t="s">
        <v>1102</v>
      </c>
      <c r="EA2" s="294">
        <v>20</v>
      </c>
      <c r="EB2" s="294">
        <v>127</v>
      </c>
      <c r="EC2" s="294">
        <v>67</v>
      </c>
      <c r="ED2" s="294">
        <v>0.3</v>
      </c>
      <c r="EE2" s="294">
        <v>2314</v>
      </c>
      <c r="EF2" s="294">
        <v>2104</v>
      </c>
      <c r="EG2" s="294">
        <v>16</v>
      </c>
      <c r="EH2" s="294">
        <v>265</v>
      </c>
      <c r="EI2" s="294">
        <v>23</v>
      </c>
      <c r="EJ2" s="294">
        <v>6</v>
      </c>
      <c r="EK2" s="294">
        <v>207</v>
      </c>
      <c r="EL2" s="294">
        <v>47</v>
      </c>
      <c r="EM2" s="294">
        <v>47</v>
      </c>
      <c r="EN2" s="294">
        <v>36</v>
      </c>
      <c r="EO2" s="294">
        <v>1</v>
      </c>
      <c r="EP2" s="294">
        <v>22</v>
      </c>
      <c r="EQ2" s="294">
        <v>95</v>
      </c>
      <c r="ER2" s="294">
        <v>5</v>
      </c>
      <c r="ES2" s="294">
        <v>19</v>
      </c>
      <c r="ET2" s="294">
        <v>22</v>
      </c>
      <c r="EU2" s="294">
        <v>16.3</v>
      </c>
      <c r="EV2" s="294">
        <v>0</v>
      </c>
      <c r="EW2" s="294">
        <v>0</v>
      </c>
      <c r="EX2" s="294">
        <v>0</v>
      </c>
      <c r="EY2" s="294" t="s">
        <v>1000</v>
      </c>
      <c r="EZ2" s="299">
        <v>7.09</v>
      </c>
    </row>
    <row r="3" spans="1:156" ht="24.95" customHeight="1" thickBot="1" x14ac:dyDescent="0.3">
      <c r="A3" s="29" t="str">
        <f t="shared" si="0"/>
        <v>2º</v>
      </c>
      <c r="B3" s="69" t="str">
        <f>DH3</f>
        <v>Casemiro</v>
      </c>
      <c r="C3" s="86" t="str">
        <f>DG3</f>
        <v>BRA</v>
      </c>
      <c r="D3" s="99" t="str">
        <f>DL3</f>
        <v>Pé Direito</v>
      </c>
      <c r="E3" s="28" t="str">
        <f>DJ3</f>
        <v>Manchester United</v>
      </c>
      <c r="F3" s="166">
        <f>IFERROR(SUBSTITUTE(DK3," cm","")/100,0)</f>
        <v>1.85</v>
      </c>
      <c r="G3" s="36">
        <f>DI3</f>
        <v>34</v>
      </c>
      <c r="H3" s="316" t="str">
        <f>DN3</f>
        <v>€2,27M p/m</v>
      </c>
      <c r="I3" s="35">
        <f>IF(DO3="-", "Sem Data Final", DO3)</f>
        <v>46568</v>
      </c>
      <c r="J3" s="199" t="str">
        <f>DM3</f>
        <v>€14M - €21M</v>
      </c>
      <c r="K3" s="96">
        <f>AVERAGE(L:L)</f>
        <v>23.994444444444444</v>
      </c>
      <c r="L3" s="144">
        <f>DP3/90</f>
        <v>21.533333333333335</v>
      </c>
      <c r="M3" s="144">
        <f>IF(ISERROR(FIND("(",DQ3)), VALUE(DQ3), VALUE(LEFT(DQ3,FIND("(",DQ3)-2)) + VALUE(MID(DQ3,FIND("(",DQ3)+1,FIND(")",DQ3)-FIND("(",DQ3)-1)))</f>
        <v>30</v>
      </c>
      <c r="N3" s="144">
        <f>IFERROR(DP3/M3,0)</f>
        <v>64.599999999999994</v>
      </c>
      <c r="O3" s="184">
        <f>IFERROR(IF(ISERROR(FIND("(",DQ3)), "100%", TEXT(VALUE(LEFT(DQ3,FIND("(",DQ3)-2)) / (VALUE(LEFT(DQ3,FIND("(",DQ3)-2)) + VALUE(MID(DQ3,FIND("(",DQ3)+1,FIND(")",DQ3)-FIND("(",DQ3)-1))),"0%")),0)*1</f>
        <v>1</v>
      </c>
      <c r="P3" s="2">
        <f>DT3</f>
        <v>0</v>
      </c>
      <c r="Q3" s="2">
        <f>DU3</f>
        <v>7</v>
      </c>
      <c r="R3" s="2">
        <f>IFERROR(P3+Q3,0)</f>
        <v>7</v>
      </c>
      <c r="S3" s="6">
        <f>DR3</f>
        <v>1</v>
      </c>
      <c r="T3" s="21">
        <f>IFERROR((S3*1)/L3,0)</f>
        <v>4.6439628482972131E-2</v>
      </c>
      <c r="U3" s="56">
        <f>EW3</f>
        <v>0</v>
      </c>
      <c r="V3" s="56">
        <f>EX3</f>
        <v>0</v>
      </c>
      <c r="W3" s="56">
        <f>IFERROR(U3-V3,0)</f>
        <v>0</v>
      </c>
      <c r="X3" s="60">
        <f>IFERROR((V3*1)/U3,0.0000001)</f>
        <v>9.9999999999999995E-8</v>
      </c>
      <c r="Y3" s="338">
        <f>EA3</f>
        <v>26</v>
      </c>
      <c r="Z3" s="315">
        <f>IFERROR(Y3/L3,0)</f>
        <v>1.2074303405572755</v>
      </c>
      <c r="AA3" s="2">
        <f>DV3</f>
        <v>3</v>
      </c>
      <c r="AB3" s="2">
        <f>DW3</f>
        <v>0</v>
      </c>
      <c r="AC3" s="2">
        <f>IFERROR(DV3+DW3,0)</f>
        <v>3</v>
      </c>
      <c r="AD3" s="5">
        <f>AC3/L3</f>
        <v>0.13931888544891641</v>
      </c>
      <c r="AE3" s="402">
        <f>IFERROR(EA3/(DV3),50)</f>
        <v>8.6666666666666661</v>
      </c>
      <c r="AF3" s="402">
        <f>IFERROR(EA3/(DV3+DW3),50)</f>
        <v>8.6666666666666661</v>
      </c>
      <c r="AG3" s="2">
        <f>Y3-(AA3+AB3)</f>
        <v>23</v>
      </c>
      <c r="AH3" s="21">
        <f>IFERROR((AC3*1)/Y3,0)</f>
        <v>0.11538461538461539</v>
      </c>
      <c r="AI3" s="208">
        <f>EK3</f>
        <v>138</v>
      </c>
      <c r="AJ3" s="196">
        <f>IFERROR(AI3/L3,0)</f>
        <v>6.4086687306501542</v>
      </c>
      <c r="AK3" s="208">
        <f>EL3</f>
        <v>28</v>
      </c>
      <c r="AL3" s="196">
        <f>IFERROR(AK3/L3,0)</f>
        <v>1.3003095975232197</v>
      </c>
      <c r="AM3" s="21">
        <f>IFERROR(AK3/AI3,0)</f>
        <v>0.20289855072463769</v>
      </c>
      <c r="AN3" s="6">
        <f>IFERROR(EB3+EM3+EA3,0)</f>
        <v>112</v>
      </c>
      <c r="AO3" s="5">
        <f>IFERROR(AN3/L3,0)</f>
        <v>5.2012383900928789</v>
      </c>
      <c r="AP3" s="6">
        <f>IFERROR(EC3+EN3+EO3,0)</f>
        <v>60</v>
      </c>
      <c r="AQ3" s="5">
        <f>IFERROR(AP3/L3,0)</f>
        <v>2.7863777089783279</v>
      </c>
      <c r="AR3" s="21">
        <f>IFERROR((AP3*1)/AN3,0)</f>
        <v>0.5357142857142857</v>
      </c>
      <c r="AS3" s="2">
        <f>IFERROR(EA3-DV3-DW3,0)</f>
        <v>23</v>
      </c>
      <c r="AT3" s="21">
        <f>IFERROR((AS3*1)/EA3,0)</f>
        <v>0.88461538461538458</v>
      </c>
      <c r="AU3" s="6">
        <f>EE3</f>
        <v>1254</v>
      </c>
      <c r="AV3" s="6">
        <f>EF3</f>
        <v>1155</v>
      </c>
      <c r="AW3" s="5">
        <f>IFERROR((AV3/L3),0)</f>
        <v>53.637770897832816</v>
      </c>
      <c r="AX3" s="5">
        <f>IFERROR((AV3-AY3)/(DP3/90),0)</f>
        <v>49.040247678018574</v>
      </c>
      <c r="AY3" s="6">
        <f>AU3-AV3</f>
        <v>99</v>
      </c>
      <c r="AZ3" s="5">
        <f>IFERROR(AY3/L3,0)</f>
        <v>4.5975232198142413</v>
      </c>
      <c r="BA3" s="20">
        <f>IFERROR((EF3*1)/EE3,0)</f>
        <v>0.92105263157894735</v>
      </c>
      <c r="BB3" s="317">
        <f>(EE3-EH3)</f>
        <v>1107</v>
      </c>
      <c r="BC3" s="5">
        <f>IFERROR(BB3/L3,0)</f>
        <v>51.408668730650149</v>
      </c>
      <c r="BD3" s="6">
        <f>EH3</f>
        <v>147</v>
      </c>
      <c r="BE3" s="5">
        <f>IFERROR(BD3/L3,0)</f>
        <v>6.8266253869969038</v>
      </c>
      <c r="BF3" s="21">
        <f>IFERROR((BD3*1)/BB3,0)</f>
        <v>0.13279132791327913</v>
      </c>
      <c r="BG3" s="6">
        <f>EB3</f>
        <v>56</v>
      </c>
      <c r="BH3" s="5">
        <f>IFERROR(BG3/L3,0)</f>
        <v>2.6006191950464395</v>
      </c>
      <c r="BI3" s="6">
        <f>EC3</f>
        <v>35</v>
      </c>
      <c r="BJ3" s="5">
        <f>IFERROR(BI3/L3,0)</f>
        <v>1.6253869969040247</v>
      </c>
      <c r="BK3" s="21">
        <f>IFERROR(EC3/EB3,0)</f>
        <v>0.625</v>
      </c>
      <c r="BL3" s="6">
        <f>EB3-EC3</f>
        <v>21</v>
      </c>
      <c r="BM3" s="5">
        <f>IFERROR(BL3/L3,0)</f>
        <v>0.9752321981424148</v>
      </c>
      <c r="BN3" s="6">
        <f>IFERROR((BO3*L3),0)</f>
        <v>6.46</v>
      </c>
      <c r="BO3" s="5">
        <f>ED3</f>
        <v>0.3</v>
      </c>
      <c r="BP3" s="21">
        <f>IFERROR((BI3*1)/BG3,0)</f>
        <v>0.625</v>
      </c>
      <c r="BQ3" s="6">
        <f>EM3+EA3</f>
        <v>56</v>
      </c>
      <c r="BR3" s="5">
        <f>IFERROR(BQ3/L3,0)</f>
        <v>2.6006191950464395</v>
      </c>
      <c r="BS3" s="6">
        <f>EN3</f>
        <v>22</v>
      </c>
      <c r="BT3" s="5">
        <f>IFERROR(BS3/L3,0)</f>
        <v>1.021671826625387</v>
      </c>
      <c r="BU3" s="6">
        <f>EM3-EN3</f>
        <v>8</v>
      </c>
      <c r="BV3" s="5">
        <f>IFERROR(BU3/L3,0)</f>
        <v>0.37151702786377705</v>
      </c>
      <c r="BW3" s="21">
        <f>IFERROR((BS3*1)/BQ3,0)</f>
        <v>0.39285714285714285</v>
      </c>
      <c r="BX3" s="6">
        <f>EO3</f>
        <v>3</v>
      </c>
      <c r="BY3" s="5">
        <f>IFERROR(BX3/L3,0)</f>
        <v>0.13931888544891641</v>
      </c>
      <c r="BZ3" s="2">
        <f>EG3</f>
        <v>19</v>
      </c>
      <c r="CA3" s="5">
        <f>IFERROR(BZ3/L3,0)</f>
        <v>0.88235294117647056</v>
      </c>
      <c r="CB3" s="6">
        <f>IFERROR(EQ3+EP3+ER3+EO3+(EU3*L3),0)</f>
        <v>400.54</v>
      </c>
      <c r="CC3" s="5">
        <f>IFERROR(CB3/L3,0)</f>
        <v>18.600928792569658</v>
      </c>
      <c r="CD3" s="5">
        <f>IFERROR((DX3+EG3+DU3)/L3,0)</f>
        <v>1.6253869969040247</v>
      </c>
      <c r="CE3" s="6">
        <f>SUM(EN:EN)</f>
        <v>233</v>
      </c>
      <c r="CF3" s="390">
        <f>IFERROR((EN3*1)/CE3,0)</f>
        <v>9.4420600858369105E-2</v>
      </c>
      <c r="CG3" s="384">
        <f>ER3+EQ3+ES3+EP3</f>
        <v>92</v>
      </c>
      <c r="CH3" s="385">
        <f>IFERROR(CG3/L3,0)</f>
        <v>4.2724458204334361</v>
      </c>
      <c r="CI3" s="384">
        <f>EL3+EN3+(EO3*0.5)</f>
        <v>51.5</v>
      </c>
      <c r="CJ3" s="385">
        <f>IFERROR(CI3/L3,0)</f>
        <v>2.3916408668730647</v>
      </c>
      <c r="CK3" s="388">
        <f>EU3</f>
        <v>14.7</v>
      </c>
      <c r="CL3" s="61">
        <f>IFERROR((DS3*3)+(DV3*1.5)+(DW3*2)+EM3+EQ3+ES3+EP3+ER3+EA3+(BN3*0.5),0)</f>
        <v>155.72999999999999</v>
      </c>
      <c r="CM3" s="62">
        <f>IFERROR(CL3/L3,0)</f>
        <v>7.2320433436532499</v>
      </c>
      <c r="CN3" s="61">
        <f>IFERROR(EN3+EQ3+EO3+ES3+EP3+ER3+(BN3*0.5),0)</f>
        <v>120.23</v>
      </c>
      <c r="CO3" s="62">
        <f>IFERROR(CN3/L3,0)</f>
        <v>5.58343653250774</v>
      </c>
      <c r="CP3" s="320">
        <f>IFERROR((DS3*3)+(DV3*1.25)+(DW3*2)+EA3+AY3,0)</f>
        <v>128.75</v>
      </c>
      <c r="CQ3" s="321">
        <f>CP3/L3</f>
        <v>5.9791021671826625</v>
      </c>
      <c r="CR3" s="350">
        <f>IFERROR(CN3/CL3,0)</f>
        <v>0.77204135362486359</v>
      </c>
      <c r="CS3" s="191">
        <f>IFERROR(SUBSTITUTE(DZ3,".","," ),0)*1</f>
        <v>3.25</v>
      </c>
      <c r="CT3" s="191">
        <f>IFERROR(CS3/EG3,0)</f>
        <v>0.17105263157894737</v>
      </c>
      <c r="CU3" s="6">
        <f>IFERROR(EG3+DX3,0)</f>
        <v>28</v>
      </c>
      <c r="CV3" s="62">
        <f>IFERROR(CU3/L3,0)</f>
        <v>1.3003095975232197</v>
      </c>
      <c r="CW3" s="5">
        <f>IFERROR(VALUE(SUBSTITUTE(EY3, " km", "")),0)</f>
        <v>243.5</v>
      </c>
      <c r="CX3" s="5">
        <f>IFERROR(CW3/L3,0)</f>
        <v>11.308049535603715</v>
      </c>
      <c r="CY3" s="323">
        <f>IFERROR((((CW3*1000)/(DP3*60))*3600)/1000,0)</f>
        <v>7.5386996904024759</v>
      </c>
      <c r="CZ3" s="406">
        <f>CW3/(EN3+EL3+EQ3+EP3+(EO3*1.5))</f>
        <v>1.8377358490566038</v>
      </c>
      <c r="DA3" s="407">
        <f>(EC3+EN3)/CW3</f>
        <v>0.23408624229979466</v>
      </c>
      <c r="DB3" s="180">
        <f>IFERROR((EE3-EF3)+(EB3-EC3)+(EI3-EJ3),0)</f>
        <v>131</v>
      </c>
      <c r="DC3" s="117">
        <f>IFERROR(DB3/L3,0)</f>
        <v>6.083591331269349</v>
      </c>
      <c r="DD3" s="117">
        <f>DY3</f>
        <v>6.3</v>
      </c>
      <c r="DE3" s="117">
        <f>IFERROR(VALUE(SUBSTITUTE(EZ3, ".", ",")),0)</f>
        <v>6.95</v>
      </c>
      <c r="DF3" s="296" t="s">
        <v>1023</v>
      </c>
      <c r="DG3" s="292" t="s">
        <v>13</v>
      </c>
      <c r="DH3" s="292" t="s">
        <v>1024</v>
      </c>
      <c r="DI3" s="292">
        <v>34</v>
      </c>
      <c r="DJ3" s="292" t="s">
        <v>1003</v>
      </c>
      <c r="DK3" s="292" t="s">
        <v>656</v>
      </c>
      <c r="DL3" s="292" t="s">
        <v>601</v>
      </c>
      <c r="DM3" s="292" t="s">
        <v>1025</v>
      </c>
      <c r="DN3" s="292" t="s">
        <v>1026</v>
      </c>
      <c r="DO3" s="293">
        <v>46568</v>
      </c>
      <c r="DP3" s="292">
        <v>1938</v>
      </c>
      <c r="DQ3" s="292">
        <v>30</v>
      </c>
      <c r="DR3" s="292">
        <v>1</v>
      </c>
      <c r="DS3" s="292">
        <v>0</v>
      </c>
      <c r="DT3" s="292">
        <v>0</v>
      </c>
      <c r="DU3" s="292">
        <v>7</v>
      </c>
      <c r="DV3" s="292">
        <v>3</v>
      </c>
      <c r="DW3" s="292">
        <v>0</v>
      </c>
      <c r="DX3" s="292">
        <v>9</v>
      </c>
      <c r="DY3" s="292">
        <v>6.3</v>
      </c>
      <c r="DZ3" s="292" t="s">
        <v>1105</v>
      </c>
      <c r="EA3" s="292">
        <v>26</v>
      </c>
      <c r="EB3" s="292">
        <v>56</v>
      </c>
      <c r="EC3" s="292">
        <v>35</v>
      </c>
      <c r="ED3" s="292">
        <v>0.3</v>
      </c>
      <c r="EE3" s="292">
        <v>1254</v>
      </c>
      <c r="EF3" s="292">
        <v>1155</v>
      </c>
      <c r="EG3" s="292">
        <v>19</v>
      </c>
      <c r="EH3" s="292">
        <v>147</v>
      </c>
      <c r="EI3" s="292">
        <v>12</v>
      </c>
      <c r="EJ3" s="292">
        <v>1</v>
      </c>
      <c r="EK3" s="292">
        <v>138</v>
      </c>
      <c r="EL3" s="292">
        <v>28</v>
      </c>
      <c r="EM3" s="292">
        <v>30</v>
      </c>
      <c r="EN3" s="292">
        <v>22</v>
      </c>
      <c r="EO3" s="292">
        <v>3</v>
      </c>
      <c r="EP3" s="292">
        <v>12</v>
      </c>
      <c r="EQ3" s="292">
        <v>66</v>
      </c>
      <c r="ER3" s="292">
        <v>3</v>
      </c>
      <c r="ES3" s="292">
        <v>11</v>
      </c>
      <c r="ET3" s="292">
        <v>7</v>
      </c>
      <c r="EU3" s="292">
        <v>14.7</v>
      </c>
      <c r="EV3" s="292">
        <v>0</v>
      </c>
      <c r="EW3" s="292">
        <v>0</v>
      </c>
      <c r="EX3" s="292">
        <v>0</v>
      </c>
      <c r="EY3" s="292" t="s">
        <v>1027</v>
      </c>
      <c r="EZ3" s="297">
        <v>6.95</v>
      </c>
    </row>
    <row r="4" spans="1:156" ht="24.95" customHeight="1" thickBot="1" x14ac:dyDescent="0.3">
      <c r="A4" s="29" t="str">
        <f t="shared" si="0"/>
        <v>3º</v>
      </c>
      <c r="B4" s="69" t="str">
        <f>DH4</f>
        <v>João Palhinha</v>
      </c>
      <c r="C4" s="86" t="str">
        <f>DG4</f>
        <v>POR</v>
      </c>
      <c r="D4" s="99" t="str">
        <f>DL4</f>
        <v>Pé Direito</v>
      </c>
      <c r="E4" s="28" t="str">
        <f>DJ4</f>
        <v>Tottenham</v>
      </c>
      <c r="F4" s="166">
        <f>IFERROR(SUBSTITUTE(DK4," cm","")/100,0)</f>
        <v>1.9</v>
      </c>
      <c r="G4" s="36">
        <f>DI4</f>
        <v>30</v>
      </c>
      <c r="H4" s="316" t="str">
        <f>DN4</f>
        <v>€237m p/m</v>
      </c>
      <c r="I4" s="35">
        <f>IF(DO4="-", "Sem Data Final", DO4)</f>
        <v>46934</v>
      </c>
      <c r="J4" s="199" t="str">
        <f>DM4</f>
        <v>€31M - €37M</v>
      </c>
      <c r="K4" s="96">
        <f>AVERAGE(L:L)</f>
        <v>23.994444444444444</v>
      </c>
      <c r="L4" s="144">
        <f>DP4/90</f>
        <v>27.644444444444446</v>
      </c>
      <c r="M4" s="144">
        <f>IF(ISERROR(FIND("(",DQ4)), VALUE(DQ4), VALUE(LEFT(DQ4,FIND("(",DQ4)-2)) + VALUE(MID(DQ4,FIND("(",DQ4)+1,FIND(")",DQ4)-FIND("(",DQ4)-1)))</f>
        <v>38</v>
      </c>
      <c r="N4" s="144">
        <f>IFERROR(DP4/M4,0)</f>
        <v>65.473684210526315</v>
      </c>
      <c r="O4" s="184">
        <f>IFERROR(IF(ISERROR(FIND("(",DQ4)), "100%", TEXT(VALUE(LEFT(DQ4,FIND("(",DQ4)-2)) / (VALUE(LEFT(DQ4,FIND("(",DQ4)-2)) + VALUE(MID(DQ4,FIND("(",DQ4)+1,FIND(")",DQ4)-FIND("(",DQ4)-1))),"0%")),0)*1</f>
        <v>0.76</v>
      </c>
      <c r="P4" s="2">
        <f>DT4</f>
        <v>1</v>
      </c>
      <c r="Q4" s="2">
        <f>DU4</f>
        <v>5</v>
      </c>
      <c r="R4" s="2">
        <f>IFERROR(P4+Q4,0)</f>
        <v>6</v>
      </c>
      <c r="S4" s="6">
        <f>DR4</f>
        <v>2</v>
      </c>
      <c r="T4" s="21">
        <f>IFERROR((S4*1)/L4,0)</f>
        <v>7.2347266881028938E-2</v>
      </c>
      <c r="U4" s="56">
        <f>EW4</f>
        <v>0</v>
      </c>
      <c r="V4" s="56">
        <f>EX4</f>
        <v>0</v>
      </c>
      <c r="W4" s="56">
        <f>IFERROR(U4-V4,0)</f>
        <v>0</v>
      </c>
      <c r="X4" s="60">
        <f>IFERROR((V4*1)/U4,0.0000001)</f>
        <v>9.9999999999999995E-8</v>
      </c>
      <c r="Y4" s="338">
        <f>EA4</f>
        <v>23</v>
      </c>
      <c r="Z4" s="315">
        <f>IFERROR(Y4/L4,0)</f>
        <v>0.83199356913183276</v>
      </c>
      <c r="AA4" s="2">
        <f>DV4</f>
        <v>7</v>
      </c>
      <c r="AB4" s="2">
        <f>DW4</f>
        <v>0</v>
      </c>
      <c r="AC4" s="2">
        <f>IFERROR(DV4+DW4,0)</f>
        <v>7</v>
      </c>
      <c r="AD4" s="5">
        <f>AC4/L4</f>
        <v>0.25321543408360125</v>
      </c>
      <c r="AE4" s="402">
        <f>IFERROR(EA4/(DV4),50)</f>
        <v>3.2857142857142856</v>
      </c>
      <c r="AF4" s="402">
        <f>IFERROR(EA4/(DV4+DW4),50)</f>
        <v>3.2857142857142856</v>
      </c>
      <c r="AG4" s="2">
        <f>Y4-(AA4+AB4)</f>
        <v>16</v>
      </c>
      <c r="AH4" s="21">
        <f>IFERROR((AC4*1)/Y4,0)</f>
        <v>0.30434782608695654</v>
      </c>
      <c r="AI4" s="208">
        <f>EK4</f>
        <v>162</v>
      </c>
      <c r="AJ4" s="196">
        <f>IFERROR(AI4/L4,0)</f>
        <v>5.860128617363344</v>
      </c>
      <c r="AK4" s="208">
        <f>EL4</f>
        <v>46</v>
      </c>
      <c r="AL4" s="196">
        <f>IFERROR(AK4/L4,0)</f>
        <v>1.6639871382636655</v>
      </c>
      <c r="AM4" s="21">
        <f>IFERROR(AK4/AI4,0)</f>
        <v>0.2839506172839506</v>
      </c>
      <c r="AN4" s="6">
        <f>IFERROR(EB4+EM4+EA4,0)</f>
        <v>140</v>
      </c>
      <c r="AO4" s="5">
        <f>IFERROR(AN4/L4,0)</f>
        <v>5.0643086816720251</v>
      </c>
      <c r="AP4" s="6">
        <f>IFERROR(EC4+EN4+EO4,0)</f>
        <v>82</v>
      </c>
      <c r="AQ4" s="5">
        <f>IFERROR(AP4/L4,0)</f>
        <v>2.9662379421221865</v>
      </c>
      <c r="AR4" s="21">
        <f>IFERROR((AP4*1)/AN4,0)</f>
        <v>0.58571428571428574</v>
      </c>
      <c r="AS4" s="2">
        <f>IFERROR(EA4-DV4-DW4,0)</f>
        <v>16</v>
      </c>
      <c r="AT4" s="21">
        <f>IFERROR((AS4*1)/EA4,0)</f>
        <v>0.69565217391304346</v>
      </c>
      <c r="AU4" s="6">
        <f>EE4</f>
        <v>1836</v>
      </c>
      <c r="AV4" s="6">
        <f>EF4</f>
        <v>1694</v>
      </c>
      <c r="AW4" s="5">
        <f>IFERROR((AV4/L4),0)</f>
        <v>61.278135048231512</v>
      </c>
      <c r="AX4" s="5">
        <f>IFERROR((AV4-AY4)/(DP4/90),0)</f>
        <v>56.141479099678456</v>
      </c>
      <c r="AY4" s="6">
        <f>AU4-AV4</f>
        <v>142</v>
      </c>
      <c r="AZ4" s="5">
        <f>IFERROR(AY4/L4,0)</f>
        <v>5.1366559485530541</v>
      </c>
      <c r="BA4" s="20">
        <f>IFERROR((EF4*1)/EE4,0)</f>
        <v>0.92265795206971679</v>
      </c>
      <c r="BB4" s="317">
        <f>(EE4-EH4)</f>
        <v>1713</v>
      </c>
      <c r="BC4" s="5">
        <f>IFERROR(BB4/L4,0)</f>
        <v>61.965434083601281</v>
      </c>
      <c r="BD4" s="6">
        <f>EH4</f>
        <v>123</v>
      </c>
      <c r="BE4" s="5">
        <f>IFERROR(BD4/L4,0)</f>
        <v>4.44935691318328</v>
      </c>
      <c r="BF4" s="21">
        <f>IFERROR((BD4*1)/BB4,0)</f>
        <v>7.1803852889667244E-2</v>
      </c>
      <c r="BG4" s="6">
        <f>EB4</f>
        <v>72</v>
      </c>
      <c r="BH4" s="5">
        <f>IFERROR(BG4/L4,0)</f>
        <v>2.6045016077170415</v>
      </c>
      <c r="BI4" s="6">
        <f>EC4</f>
        <v>48</v>
      </c>
      <c r="BJ4" s="5">
        <f>IFERROR(BI4/L4,0)</f>
        <v>1.7363344051446945</v>
      </c>
      <c r="BK4" s="21">
        <f>IFERROR(EC4/EB4,0)</f>
        <v>0.66666666666666663</v>
      </c>
      <c r="BL4" s="6">
        <f>EB4-EC4</f>
        <v>24</v>
      </c>
      <c r="BM4" s="5">
        <f>IFERROR(BL4/L4,0)</f>
        <v>0.86816720257234725</v>
      </c>
      <c r="BN4" s="6">
        <f>IFERROR((BO4*L4),0)</f>
        <v>8.293333333333333</v>
      </c>
      <c r="BO4" s="5">
        <f>ED4</f>
        <v>0.3</v>
      </c>
      <c r="BP4" s="21">
        <f>IFERROR((BI4*1)/BG4,0)</f>
        <v>0.66666666666666663</v>
      </c>
      <c r="BQ4" s="6">
        <f>EM4+EA4</f>
        <v>68</v>
      </c>
      <c r="BR4" s="5">
        <f>IFERROR(BQ4/L4,0)</f>
        <v>2.459807073954984</v>
      </c>
      <c r="BS4" s="6">
        <f>EN4</f>
        <v>32</v>
      </c>
      <c r="BT4" s="5">
        <f>IFERROR(BS4/L4,0)</f>
        <v>1.157556270096463</v>
      </c>
      <c r="BU4" s="6">
        <f>EM4-EN4</f>
        <v>13</v>
      </c>
      <c r="BV4" s="5">
        <f>IFERROR(BU4/L4,0)</f>
        <v>0.47025723472668807</v>
      </c>
      <c r="BW4" s="21">
        <f>IFERROR((BS4*1)/BQ4,0)</f>
        <v>0.47058823529411764</v>
      </c>
      <c r="BX4" s="6">
        <f>EO4</f>
        <v>2</v>
      </c>
      <c r="BY4" s="5">
        <f>IFERROR(BX4/L4,0)</f>
        <v>7.2347266881028938E-2</v>
      </c>
      <c r="BZ4" s="2">
        <f>EG4</f>
        <v>18</v>
      </c>
      <c r="CA4" s="5">
        <f>IFERROR(BZ4/L4,0)</f>
        <v>0.65112540192926038</v>
      </c>
      <c r="CB4" s="6">
        <f>IFERROR(EQ4+EP4+ER4+EO4+(EU4*L4),0)</f>
        <v>519.90222222222224</v>
      </c>
      <c r="CC4" s="5">
        <f>IFERROR(CB4/L4,0)</f>
        <v>18.806752411575562</v>
      </c>
      <c r="CD4" s="5">
        <f>IFERROR((DX4+EG4+DU4)/L4,0)</f>
        <v>1.3384244372990353</v>
      </c>
      <c r="CE4" s="6">
        <f>SUM(EN:EN)</f>
        <v>233</v>
      </c>
      <c r="CF4" s="390">
        <f>IFERROR((EN4*1)/CE4,0)</f>
        <v>0.13733905579399142</v>
      </c>
      <c r="CG4" s="384">
        <f>ER4+EQ4+ES4+EP4</f>
        <v>130</v>
      </c>
      <c r="CH4" s="385">
        <f>IFERROR(CG4/L4,0)</f>
        <v>4.702572347266881</v>
      </c>
      <c r="CI4" s="384">
        <f>EL4+EN4+(EO4*0.5)</f>
        <v>79</v>
      </c>
      <c r="CJ4" s="385">
        <f>IFERROR(CI4/L4,0)</f>
        <v>2.857717041800643</v>
      </c>
      <c r="CK4" s="388">
        <f>EU4</f>
        <v>14.9</v>
      </c>
      <c r="CL4" s="61">
        <f>IFERROR((DS4*3)+(DV4*1.5)+(DW4*2)+EM4+EQ4+ES4+EP4+ER4+EA4+(BN4*0.5),0)</f>
        <v>212.64666666666668</v>
      </c>
      <c r="CM4" s="62">
        <f>IFERROR(CL4/L4,0)</f>
        <v>7.6922025723472665</v>
      </c>
      <c r="CN4" s="61">
        <f>IFERROR(EN4+EQ4+EO4+ES4+EP4+ER4+(BN4*0.5),0)</f>
        <v>168.14666666666668</v>
      </c>
      <c r="CO4" s="62">
        <f>IFERROR(CN4/L4,0)</f>
        <v>6.0824758842443734</v>
      </c>
      <c r="CP4" s="320">
        <f>IFERROR((DS4*3)+(DV4*1.25)+(DW4*2)+EA4+AY4,0)</f>
        <v>173.75</v>
      </c>
      <c r="CQ4" s="321">
        <f>CP4/L4</f>
        <v>6.285168810289389</v>
      </c>
      <c r="CR4" s="350">
        <f>IFERROR(CN4/CL4,0)</f>
        <v>0.79073267078408627</v>
      </c>
      <c r="CS4" s="191">
        <f>IFERROR(SUBSTITUTE(DZ4,".","," ),0)*1</f>
        <v>4.1100000000000003</v>
      </c>
      <c r="CT4" s="191">
        <f>IFERROR(CS4/EG4,0)</f>
        <v>0.22833333333333336</v>
      </c>
      <c r="CU4" s="6">
        <f>IFERROR(EG4+DX4,0)</f>
        <v>32</v>
      </c>
      <c r="CV4" s="62">
        <f>IFERROR(CU4/L4,0)</f>
        <v>1.157556270096463</v>
      </c>
      <c r="CW4" s="5">
        <f>IFERROR(VALUE(SUBSTITUTE(EY4, " km", "")),0)</f>
        <v>332.7</v>
      </c>
      <c r="CX4" s="5">
        <f>IFERROR(CW4/L4,0)</f>
        <v>12.034967845659162</v>
      </c>
      <c r="CY4" s="323">
        <f>IFERROR((((CW4*1000)/(DP4*60))*3600)/1000,0)</f>
        <v>8.0233118971061099</v>
      </c>
      <c r="CZ4" s="406">
        <f>CW4/(EN4+EL4+EQ4+EP4+(EO4*1.5))</f>
        <v>1.9456140350877191</v>
      </c>
      <c r="DA4" s="407">
        <f>(EC4+EN4)/CW4</f>
        <v>0.24045686804929367</v>
      </c>
      <c r="DB4" s="180">
        <f>IFERROR((EE4-EF4)+(EB4-EC4)+(EI4-EJ4),0)</f>
        <v>175</v>
      </c>
      <c r="DC4" s="117">
        <f>IFERROR(DB4/L4,0)</f>
        <v>6.330385852090032</v>
      </c>
      <c r="DD4" s="117">
        <f>DY4</f>
        <v>5.2</v>
      </c>
      <c r="DE4" s="117">
        <f>IFERROR(VALUE(SUBSTITUTE(EZ4, ".", ",")),0)</f>
        <v>6.98</v>
      </c>
      <c r="DF4" s="296"/>
      <c r="DG4" s="292" t="s">
        <v>617</v>
      </c>
      <c r="DH4" s="292" t="s">
        <v>1005</v>
      </c>
      <c r="DI4" s="292">
        <v>30</v>
      </c>
      <c r="DJ4" s="292" t="s">
        <v>1006</v>
      </c>
      <c r="DK4" s="292" t="s">
        <v>639</v>
      </c>
      <c r="DL4" s="292" t="s">
        <v>601</v>
      </c>
      <c r="DM4" s="292" t="s">
        <v>1007</v>
      </c>
      <c r="DN4" s="292" t="s">
        <v>1008</v>
      </c>
      <c r="DO4" s="293">
        <v>46934</v>
      </c>
      <c r="DP4" s="292">
        <v>2488</v>
      </c>
      <c r="DQ4" s="292" t="s">
        <v>1009</v>
      </c>
      <c r="DR4" s="292">
        <v>2</v>
      </c>
      <c r="DS4" s="292">
        <v>0</v>
      </c>
      <c r="DT4" s="292">
        <v>1</v>
      </c>
      <c r="DU4" s="292">
        <v>5</v>
      </c>
      <c r="DV4" s="292">
        <v>7</v>
      </c>
      <c r="DW4" s="292">
        <v>0</v>
      </c>
      <c r="DX4" s="292">
        <v>14</v>
      </c>
      <c r="DY4" s="292">
        <v>5.2</v>
      </c>
      <c r="DZ4" s="292" t="s">
        <v>1101</v>
      </c>
      <c r="EA4" s="292">
        <v>23</v>
      </c>
      <c r="EB4" s="292">
        <v>72</v>
      </c>
      <c r="EC4" s="292">
        <v>48</v>
      </c>
      <c r="ED4" s="292">
        <v>0.3</v>
      </c>
      <c r="EE4" s="292">
        <v>1836</v>
      </c>
      <c r="EF4" s="292">
        <v>1694</v>
      </c>
      <c r="EG4" s="292">
        <v>18</v>
      </c>
      <c r="EH4" s="292">
        <v>123</v>
      </c>
      <c r="EI4" s="292">
        <v>11</v>
      </c>
      <c r="EJ4" s="292">
        <v>2</v>
      </c>
      <c r="EK4" s="292">
        <v>162</v>
      </c>
      <c r="EL4" s="292">
        <v>46</v>
      </c>
      <c r="EM4" s="292">
        <v>45</v>
      </c>
      <c r="EN4" s="292">
        <v>32</v>
      </c>
      <c r="EO4" s="292">
        <v>2</v>
      </c>
      <c r="EP4" s="292">
        <v>14</v>
      </c>
      <c r="EQ4" s="292">
        <v>76</v>
      </c>
      <c r="ER4" s="292">
        <v>16</v>
      </c>
      <c r="ES4" s="292">
        <v>24</v>
      </c>
      <c r="ET4" s="292">
        <v>23</v>
      </c>
      <c r="EU4" s="292">
        <v>14.9</v>
      </c>
      <c r="EV4" s="292">
        <v>0</v>
      </c>
      <c r="EW4" s="292">
        <v>0</v>
      </c>
      <c r="EX4" s="292">
        <v>0</v>
      </c>
      <c r="EY4" s="292" t="s">
        <v>1010</v>
      </c>
      <c r="EZ4" s="297">
        <v>6.98</v>
      </c>
    </row>
    <row r="5" spans="1:156" ht="24.95" customHeight="1" thickBot="1" x14ac:dyDescent="0.3">
      <c r="A5" s="29" t="str">
        <f t="shared" si="0"/>
        <v>4º</v>
      </c>
      <c r="B5" s="69" t="str">
        <f>DH5</f>
        <v>Jordan Henderson</v>
      </c>
      <c r="C5" s="86" t="str">
        <f>DG5</f>
        <v>ENG</v>
      </c>
      <c r="D5" s="99" t="str">
        <f>DL5</f>
        <v>Somente Pé Direito</v>
      </c>
      <c r="E5" s="28" t="str">
        <f>DJ5</f>
        <v>Brentford</v>
      </c>
      <c r="F5" s="166">
        <f>IFERROR(SUBSTITUTE(DK5," cm","")/100,0)</f>
        <v>1.82</v>
      </c>
      <c r="G5" s="36">
        <f>DI5</f>
        <v>35</v>
      </c>
      <c r="H5" s="316" t="str">
        <f>DN5</f>
        <v>€587m p/m</v>
      </c>
      <c r="I5" s="35">
        <f>IF(DO5="-", "Sem Data Final", DO5)</f>
        <v>46568</v>
      </c>
      <c r="J5" s="199" t="str">
        <f>DM5</f>
        <v>Não está à venda</v>
      </c>
      <c r="K5" s="96">
        <f>AVERAGE(L:L)</f>
        <v>23.994444444444444</v>
      </c>
      <c r="L5" s="144">
        <f>DP5/90</f>
        <v>27.255555555555556</v>
      </c>
      <c r="M5" s="144">
        <f>IF(ISERROR(FIND("(",DQ5)), VALUE(DQ5), VALUE(LEFT(DQ5,FIND("(",DQ5)-2)) + VALUE(MID(DQ5,FIND("(",DQ5)+1,FIND(")",DQ5)-FIND("(",DQ5)-1)))</f>
        <v>31</v>
      </c>
      <c r="N5" s="144">
        <f>IFERROR(DP5/M5,0)</f>
        <v>79.129032258064512</v>
      </c>
      <c r="O5" s="184">
        <f>IFERROR(IF(ISERROR(FIND("(",DQ5)), "100%", TEXT(VALUE(LEFT(DQ5,FIND("(",DQ5)-2)) / (VALUE(LEFT(DQ5,FIND("(",DQ5)-2)) + VALUE(MID(DQ5,FIND("(",DQ5)+1,FIND(")",DQ5)-FIND("(",DQ5)-1))),"0%")),0)*1</f>
        <v>1</v>
      </c>
      <c r="P5" s="2">
        <f>DT5</f>
        <v>0</v>
      </c>
      <c r="Q5" s="2">
        <f>DU5</f>
        <v>4</v>
      </c>
      <c r="R5" s="2">
        <f>IFERROR(P5+Q5,0)</f>
        <v>4</v>
      </c>
      <c r="S5" s="6">
        <f>DR5</f>
        <v>2</v>
      </c>
      <c r="T5" s="21">
        <f>IFERROR((S5*1)/L5,0)</f>
        <v>7.337953526294333E-2</v>
      </c>
      <c r="U5" s="56">
        <f>EW5</f>
        <v>0</v>
      </c>
      <c r="V5" s="56">
        <f>EX5</f>
        <v>0</v>
      </c>
      <c r="W5" s="56">
        <f>IFERROR(U5-V5,0)</f>
        <v>0</v>
      </c>
      <c r="X5" s="60">
        <f>IFERROR((V5*1)/U5,0.0000001)</f>
        <v>9.9999999999999995E-8</v>
      </c>
      <c r="Y5" s="338">
        <f>EA5</f>
        <v>13</v>
      </c>
      <c r="Z5" s="315">
        <f>IFERROR(Y5/L5,0)</f>
        <v>0.47696697920913167</v>
      </c>
      <c r="AA5" s="2">
        <f>DV5</f>
        <v>2</v>
      </c>
      <c r="AB5" s="2">
        <f>DW5</f>
        <v>0</v>
      </c>
      <c r="AC5" s="2">
        <f>IFERROR(DV5+DW5,0)</f>
        <v>2</v>
      </c>
      <c r="AD5" s="5">
        <f>AC5/L5</f>
        <v>7.337953526294333E-2</v>
      </c>
      <c r="AE5" s="402">
        <f>IFERROR(EA5/(DV5),50)</f>
        <v>6.5</v>
      </c>
      <c r="AF5" s="402">
        <f>IFERROR(EA5/(DV5+DW5),50)</f>
        <v>6.5</v>
      </c>
      <c r="AG5" s="2">
        <f>Y5-(AA5+AB5)</f>
        <v>11</v>
      </c>
      <c r="AH5" s="21">
        <f>IFERROR((AC5*1)/Y5,0)</f>
        <v>0.15384615384615385</v>
      </c>
      <c r="AI5" s="208">
        <f>EK5</f>
        <v>170</v>
      </c>
      <c r="AJ5" s="196">
        <f>IFERROR(AI5/L5,0)</f>
        <v>6.2372604973501833</v>
      </c>
      <c r="AK5" s="208">
        <f>EL5</f>
        <v>57</v>
      </c>
      <c r="AL5" s="196">
        <f>IFERROR(AK5/L5,0)</f>
        <v>2.0913167549938851</v>
      </c>
      <c r="AM5" s="21">
        <f>IFERROR(AK5/AI5,0)</f>
        <v>0.3352941176470588</v>
      </c>
      <c r="AN5" s="6">
        <f>IFERROR(EB5+EM5+EA5,0)</f>
        <v>115</v>
      </c>
      <c r="AO5" s="5">
        <f>IFERROR(AN5/L5,0)</f>
        <v>4.2193232776192415</v>
      </c>
      <c r="AP5" s="6">
        <f>IFERROR(EC5+EN5+EO5,0)</f>
        <v>53</v>
      </c>
      <c r="AQ5" s="5">
        <f>IFERROR(AP5/L5,0)</f>
        <v>1.9445576844679984</v>
      </c>
      <c r="AR5" s="21">
        <f>IFERROR((AP5*1)/AN5,0)</f>
        <v>0.46086956521739131</v>
      </c>
      <c r="AS5" s="2">
        <f>IFERROR(EA5-DV5-DW5,0)</f>
        <v>11</v>
      </c>
      <c r="AT5" s="21">
        <f>IFERROR((AS5*1)/EA5,0)</f>
        <v>0.84615384615384615</v>
      </c>
      <c r="AU5" s="6">
        <f>EE5</f>
        <v>1787</v>
      </c>
      <c r="AV5" s="6">
        <f>EF5</f>
        <v>1655</v>
      </c>
      <c r="AW5" s="5">
        <f>IFERROR((AV5/L5),0)</f>
        <v>60.721565430085604</v>
      </c>
      <c r="AX5" s="5">
        <f>IFERROR((AV5-AY5)/(DP5/90),0)</f>
        <v>55.878516102731346</v>
      </c>
      <c r="AY5" s="6">
        <f>AU5-AV5</f>
        <v>132</v>
      </c>
      <c r="AZ5" s="5">
        <f>IFERROR(AY5/L5,0)</f>
        <v>4.8430493273542599</v>
      </c>
      <c r="BA5" s="20">
        <f>IFERROR((EF5*1)/EE5,0)</f>
        <v>0.92613318410744261</v>
      </c>
      <c r="BB5" s="317">
        <f>(EE5-EH5)</f>
        <v>1590</v>
      </c>
      <c r="BC5" s="5">
        <f>IFERROR(BB5/L5,0)</f>
        <v>58.336730534039951</v>
      </c>
      <c r="BD5" s="6">
        <f>EH5</f>
        <v>197</v>
      </c>
      <c r="BE5" s="5">
        <f>IFERROR(BD5/L5,0)</f>
        <v>7.2278842233999185</v>
      </c>
      <c r="BF5" s="21">
        <f>IFERROR((BD5*1)/BB5,0)</f>
        <v>0.12389937106918239</v>
      </c>
      <c r="BG5" s="6">
        <f>EB5</f>
        <v>59</v>
      </c>
      <c r="BH5" s="5">
        <f>IFERROR(BG5/L5,0)</f>
        <v>2.1646962902568285</v>
      </c>
      <c r="BI5" s="6">
        <f>EC5</f>
        <v>19</v>
      </c>
      <c r="BJ5" s="5">
        <f>IFERROR(BI5/L5,0)</f>
        <v>0.6971055849979616</v>
      </c>
      <c r="BK5" s="21">
        <f>IFERROR(EC5/EB5,0)</f>
        <v>0.32203389830508472</v>
      </c>
      <c r="BL5" s="6">
        <f>EB5-EC5</f>
        <v>40</v>
      </c>
      <c r="BM5" s="5">
        <f>IFERROR(BL5/L5,0)</f>
        <v>1.4675907052588666</v>
      </c>
      <c r="BN5" s="6">
        <f>IFERROR((BO5*L5),0)</f>
        <v>5.4511111111111115</v>
      </c>
      <c r="BO5" s="5">
        <f>ED5</f>
        <v>0.2</v>
      </c>
      <c r="BP5" s="21">
        <f>IFERROR((BI5*1)/BG5,0)</f>
        <v>0.32203389830508472</v>
      </c>
      <c r="BQ5" s="6">
        <f>EM5+EA5</f>
        <v>56</v>
      </c>
      <c r="BR5" s="5">
        <f>IFERROR(BQ5/L5,0)</f>
        <v>2.0546269873624134</v>
      </c>
      <c r="BS5" s="6">
        <f>EN5</f>
        <v>33</v>
      </c>
      <c r="BT5" s="5">
        <f>IFERROR(BS5/L5,0)</f>
        <v>1.210762331838565</v>
      </c>
      <c r="BU5" s="6">
        <f>EM5-EN5</f>
        <v>10</v>
      </c>
      <c r="BV5" s="5">
        <f>IFERROR(BU5/L5,0)</f>
        <v>0.36689767631471665</v>
      </c>
      <c r="BW5" s="21">
        <f>IFERROR((BS5*1)/BQ5,0)</f>
        <v>0.5892857142857143</v>
      </c>
      <c r="BX5" s="6">
        <f>EO5</f>
        <v>1</v>
      </c>
      <c r="BY5" s="5">
        <f>IFERROR(BX5/L5,0)</f>
        <v>3.6689767631471665E-2</v>
      </c>
      <c r="BZ5" s="2">
        <f>EG5</f>
        <v>39</v>
      </c>
      <c r="CA5" s="5">
        <f>IFERROR(BZ5/L5,0)</f>
        <v>1.4309009376273949</v>
      </c>
      <c r="CB5" s="6">
        <f>IFERROR(EQ5+EP5+ER5+EO5+(EU5*L5),0)</f>
        <v>499.28444444444443</v>
      </c>
      <c r="CC5" s="5">
        <f>IFERROR(CB5/L5,0)</f>
        <v>18.318630248675092</v>
      </c>
      <c r="CD5" s="5">
        <f>IFERROR((DX5+EG5+DU5)/L5,0)</f>
        <v>1.9445576844679984</v>
      </c>
      <c r="CE5" s="6">
        <f>SUM(EN:EN)</f>
        <v>233</v>
      </c>
      <c r="CF5" s="390">
        <f>IFERROR((EN5*1)/CE5,0)</f>
        <v>0.14163090128755365</v>
      </c>
      <c r="CG5" s="384">
        <f>ER5+EQ5+ES5+EP5</f>
        <v>102</v>
      </c>
      <c r="CH5" s="385">
        <f>IFERROR(CG5/L5,0)</f>
        <v>3.74235629841011</v>
      </c>
      <c r="CI5" s="384">
        <f>EL5+EN5+(EO5*0.5)</f>
        <v>90.5</v>
      </c>
      <c r="CJ5" s="385">
        <f>IFERROR(CI5/L5,0)</f>
        <v>3.3204239706481857</v>
      </c>
      <c r="CK5" s="388">
        <f>EU5</f>
        <v>15.2</v>
      </c>
      <c r="CL5" s="61">
        <f>IFERROR((DS5*3)+(DV5*1.5)+(DW5*2)+EM5+EQ5+ES5+EP5+ER5+EA5+(BN5*0.5),0)</f>
        <v>163.72555555555556</v>
      </c>
      <c r="CM5" s="62">
        <f>IFERROR(CL5/L5,0)</f>
        <v>6.0070525886669381</v>
      </c>
      <c r="CN5" s="61">
        <f>IFERROR(EN5+EQ5+EO5+ES5+EP5+ER5+(BN5*0.5),0)</f>
        <v>138.72555555555556</v>
      </c>
      <c r="CO5" s="62">
        <f>IFERROR(CN5/L5,0)</f>
        <v>5.0898083978801463</v>
      </c>
      <c r="CP5" s="320">
        <f>IFERROR((DS5*3)+(DV5*1.25)+(DW5*2)+EA5+AY5,0)</f>
        <v>147.5</v>
      </c>
      <c r="CQ5" s="321">
        <f>CP5/L5</f>
        <v>5.4117407256420709</v>
      </c>
      <c r="CR5" s="350">
        <f>IFERROR(CN5/CL5,0)</f>
        <v>0.84730545017746495</v>
      </c>
      <c r="CS5" s="191">
        <f>IFERROR(SUBSTITUTE(DZ5,".","," ),0)*1</f>
        <v>4.87</v>
      </c>
      <c r="CT5" s="191">
        <f>IFERROR(CS5/EG5,0)</f>
        <v>0.12487179487179488</v>
      </c>
      <c r="CU5" s="6">
        <f>IFERROR(EG5+DX5,0)</f>
        <v>49</v>
      </c>
      <c r="CV5" s="62">
        <f>IFERROR(CU5/L5,0)</f>
        <v>1.7977986139421116</v>
      </c>
      <c r="CW5" s="5">
        <f>IFERROR(VALUE(SUBSTITUTE(EY5, " km", "")),0)</f>
        <v>315.89999999999998</v>
      </c>
      <c r="CX5" s="5">
        <f>IFERROR(CW5/L5,0)</f>
        <v>11.590297594781898</v>
      </c>
      <c r="CY5" s="323">
        <f>IFERROR((((CW5*1000)/(DP5*60))*3600)/1000,0)</f>
        <v>7.7268650631879323</v>
      </c>
      <c r="CZ5" s="406">
        <f>CW5/(EN5+EL5+EQ5+EP5+(EO5*1.5))</f>
        <v>1.8207492795389049</v>
      </c>
      <c r="DA5" s="407">
        <f>(EC5+EN5)/CW5</f>
        <v>0.16460905349794239</v>
      </c>
      <c r="DB5" s="180">
        <f>IFERROR((EE5-EF5)+(EB5-EC5)+(EI5-EJ5),0)</f>
        <v>178</v>
      </c>
      <c r="DC5" s="117">
        <f>IFERROR(DB5/L5,0)</f>
        <v>6.5307786384019568</v>
      </c>
      <c r="DD5" s="117">
        <f>DY5</f>
        <v>4.0999999999999996</v>
      </c>
      <c r="DE5" s="117">
        <f>IFERROR(VALUE(SUBSTITUTE(EZ5, ".", ",")),0)</f>
        <v>6.96</v>
      </c>
      <c r="DF5" s="298"/>
      <c r="DG5" s="294" t="s">
        <v>641</v>
      </c>
      <c r="DH5" s="294" t="s">
        <v>1011</v>
      </c>
      <c r="DI5" s="294">
        <v>35</v>
      </c>
      <c r="DJ5" s="294" t="s">
        <v>1012</v>
      </c>
      <c r="DK5" s="294" t="s">
        <v>829</v>
      </c>
      <c r="DL5" s="294" t="s">
        <v>602</v>
      </c>
      <c r="DM5" s="294" t="s">
        <v>408</v>
      </c>
      <c r="DN5" s="294" t="s">
        <v>1013</v>
      </c>
      <c r="DO5" s="295">
        <v>46568</v>
      </c>
      <c r="DP5" s="294">
        <v>2453</v>
      </c>
      <c r="DQ5" s="294">
        <v>31</v>
      </c>
      <c r="DR5" s="294">
        <v>2</v>
      </c>
      <c r="DS5" s="294">
        <v>0</v>
      </c>
      <c r="DT5" s="294">
        <v>0</v>
      </c>
      <c r="DU5" s="294">
        <v>4</v>
      </c>
      <c r="DV5" s="294">
        <v>2</v>
      </c>
      <c r="DW5" s="294">
        <v>0</v>
      </c>
      <c r="DX5" s="294">
        <v>10</v>
      </c>
      <c r="DY5" s="294">
        <v>4.0999999999999996</v>
      </c>
      <c r="DZ5" s="294" t="s">
        <v>1107</v>
      </c>
      <c r="EA5" s="294">
        <v>13</v>
      </c>
      <c r="EB5" s="294">
        <v>59</v>
      </c>
      <c r="EC5" s="294">
        <v>19</v>
      </c>
      <c r="ED5" s="294">
        <v>0.2</v>
      </c>
      <c r="EE5" s="294">
        <v>1787</v>
      </c>
      <c r="EF5" s="294">
        <v>1655</v>
      </c>
      <c r="EG5" s="294">
        <v>39</v>
      </c>
      <c r="EH5" s="294">
        <v>197</v>
      </c>
      <c r="EI5" s="294">
        <v>6</v>
      </c>
      <c r="EJ5" s="294">
        <v>0</v>
      </c>
      <c r="EK5" s="294">
        <v>170</v>
      </c>
      <c r="EL5" s="294">
        <v>57</v>
      </c>
      <c r="EM5" s="294">
        <v>43</v>
      </c>
      <c r="EN5" s="294">
        <v>33</v>
      </c>
      <c r="EO5" s="294">
        <v>1</v>
      </c>
      <c r="EP5" s="294">
        <v>13</v>
      </c>
      <c r="EQ5" s="294">
        <v>69</v>
      </c>
      <c r="ER5" s="294">
        <v>2</v>
      </c>
      <c r="ES5" s="294">
        <v>18</v>
      </c>
      <c r="ET5" s="294">
        <v>18</v>
      </c>
      <c r="EU5" s="294">
        <v>15.2</v>
      </c>
      <c r="EV5" s="294">
        <v>0</v>
      </c>
      <c r="EW5" s="294">
        <v>0</v>
      </c>
      <c r="EX5" s="294">
        <v>0</v>
      </c>
      <c r="EY5" s="294" t="s">
        <v>1014</v>
      </c>
      <c r="EZ5" s="299">
        <v>6.96</v>
      </c>
    </row>
    <row r="6" spans="1:156" ht="24.95" customHeight="1" thickBot="1" x14ac:dyDescent="0.3">
      <c r="A6" s="29" t="str">
        <f t="shared" si="0"/>
        <v>5º</v>
      </c>
      <c r="B6" s="69" t="str">
        <f>DH6</f>
        <v>Manuel Ugarte</v>
      </c>
      <c r="C6" s="86" t="str">
        <f>DG6</f>
        <v>URU</v>
      </c>
      <c r="D6" s="99" t="str">
        <f>DL6</f>
        <v>Pé Direito</v>
      </c>
      <c r="E6" s="28" t="str">
        <f>DJ6</f>
        <v>Manchester United</v>
      </c>
      <c r="F6" s="166">
        <f>IFERROR(SUBSTITUTE(DK6," cm","")/100,0)</f>
        <v>1.82</v>
      </c>
      <c r="G6" s="36">
        <f>DI6</f>
        <v>24</v>
      </c>
      <c r="H6" s="316" t="str">
        <f>DN6</f>
        <v>€758m p/m</v>
      </c>
      <c r="I6" s="35">
        <f>IF(DO6="-", "Sem Data Final", DO6)</f>
        <v>47299</v>
      </c>
      <c r="J6" s="199" t="str">
        <f>DM6</f>
        <v>€82M - €98M</v>
      </c>
      <c r="K6" s="96">
        <f>AVERAGE(L:L)</f>
        <v>23.994444444444444</v>
      </c>
      <c r="L6" s="144">
        <f>DP6/90</f>
        <v>25.7</v>
      </c>
      <c r="M6" s="144">
        <f>IF(ISERROR(FIND("(",DQ6)), VALUE(DQ6), VALUE(LEFT(DQ6,FIND("(",DQ6)-2)) + VALUE(MID(DQ6,FIND("(",DQ6)+1,FIND(")",DQ6)-FIND("(",DQ6)-1)))</f>
        <v>28</v>
      </c>
      <c r="N6" s="144">
        <f>IFERROR(DP6/M6,0)</f>
        <v>82.607142857142861</v>
      </c>
      <c r="O6" s="184">
        <f>IFERROR(IF(ISERROR(FIND("(",DQ6)), "100%", TEXT(VALUE(LEFT(DQ6,FIND("(",DQ6)-2)) / (VALUE(LEFT(DQ6,FIND("(",DQ6)-2)) + VALUE(MID(DQ6,FIND("(",DQ6)+1,FIND(")",DQ6)-FIND("(",DQ6)-1))),"0%")),0)*1</f>
        <v>0.96</v>
      </c>
      <c r="P6" s="2">
        <f>DT6</f>
        <v>0</v>
      </c>
      <c r="Q6" s="2">
        <f>DU6</f>
        <v>2</v>
      </c>
      <c r="R6" s="2">
        <f>IFERROR(P6+Q6,0)</f>
        <v>2</v>
      </c>
      <c r="S6" s="6">
        <f>DR6</f>
        <v>1</v>
      </c>
      <c r="T6" s="21">
        <f>IFERROR((S6*1)/L6,0)</f>
        <v>3.8910505836575876E-2</v>
      </c>
      <c r="U6" s="56">
        <f>EW6</f>
        <v>0</v>
      </c>
      <c r="V6" s="56">
        <f>EX6</f>
        <v>0</v>
      </c>
      <c r="W6" s="56">
        <f>IFERROR(U6-V6,0)</f>
        <v>0</v>
      </c>
      <c r="X6" s="60">
        <f>IFERROR((V6*1)/U6,0.0000001)</f>
        <v>9.9999999999999995E-8</v>
      </c>
      <c r="Y6" s="338">
        <f>EA6</f>
        <v>32</v>
      </c>
      <c r="Z6" s="315">
        <f>IFERROR(Y6/L6,0)</f>
        <v>1.245136186770428</v>
      </c>
      <c r="AA6" s="2">
        <f>DV6</f>
        <v>4</v>
      </c>
      <c r="AB6" s="2">
        <f>DW6</f>
        <v>0</v>
      </c>
      <c r="AC6" s="2">
        <f>IFERROR(DV6+DW6,0)</f>
        <v>4</v>
      </c>
      <c r="AD6" s="5">
        <f>AC6/L6</f>
        <v>0.1556420233463035</v>
      </c>
      <c r="AE6" s="402">
        <f>IFERROR(EA6/(DV6),50)</f>
        <v>8</v>
      </c>
      <c r="AF6" s="402">
        <f>IFERROR(EA6/(DV6+DW6),50)</f>
        <v>8</v>
      </c>
      <c r="AG6" s="2">
        <f>Y6-(AA6+AB6)</f>
        <v>28</v>
      </c>
      <c r="AH6" s="21">
        <f>IFERROR((AC6*1)/Y6,0)</f>
        <v>0.125</v>
      </c>
      <c r="AI6" s="208">
        <f>EK6</f>
        <v>174</v>
      </c>
      <c r="AJ6" s="196">
        <f>IFERROR(AI6/L6,0)</f>
        <v>6.7704280155642023</v>
      </c>
      <c r="AK6" s="208">
        <f>EL6</f>
        <v>36</v>
      </c>
      <c r="AL6" s="196">
        <f>IFERROR(AK6/L6,0)</f>
        <v>1.4007782101167316</v>
      </c>
      <c r="AM6" s="21">
        <f>IFERROR(AK6/AI6,0)</f>
        <v>0.20689655172413793</v>
      </c>
      <c r="AN6" s="6">
        <f>IFERROR(EB6+EM6+EA6,0)</f>
        <v>111</v>
      </c>
      <c r="AO6" s="5">
        <f>IFERROR(AN6/L6,0)</f>
        <v>4.3190661478599219</v>
      </c>
      <c r="AP6" s="6">
        <f>IFERROR(EC6+EN6+EO6,0)</f>
        <v>50</v>
      </c>
      <c r="AQ6" s="5">
        <f>IFERROR(AP6/L6,0)</f>
        <v>1.9455252918287937</v>
      </c>
      <c r="AR6" s="21">
        <f>IFERROR((AP6*1)/AN6,0)</f>
        <v>0.45045045045045046</v>
      </c>
      <c r="AS6" s="2">
        <f>IFERROR(EA6-DV6-DW6,0)</f>
        <v>28</v>
      </c>
      <c r="AT6" s="21">
        <f>IFERROR((AS6*1)/EA6,0)</f>
        <v>0.875</v>
      </c>
      <c r="AU6" s="6">
        <f>EE6</f>
        <v>1665</v>
      </c>
      <c r="AV6" s="6">
        <f>EF6</f>
        <v>1543</v>
      </c>
      <c r="AW6" s="5">
        <f>IFERROR((AV6/L6),0)</f>
        <v>60.038910505836576</v>
      </c>
      <c r="AX6" s="5">
        <f>IFERROR((AV6-AY6)/(DP6/90),0)</f>
        <v>55.291828793774322</v>
      </c>
      <c r="AY6" s="6">
        <f>AU6-AV6</f>
        <v>122</v>
      </c>
      <c r="AZ6" s="5">
        <f>IFERROR(AY6/L6,0)</f>
        <v>4.7470817120622568</v>
      </c>
      <c r="BA6" s="20">
        <f>IFERROR((EF6*1)/EE6,0)</f>
        <v>0.92672672672672673</v>
      </c>
      <c r="BB6" s="317">
        <f>(EE6-EH6)</f>
        <v>1572</v>
      </c>
      <c r="BC6" s="5">
        <f>IFERROR(BB6/L6,0)</f>
        <v>61.167315175097279</v>
      </c>
      <c r="BD6" s="6">
        <f>EH6</f>
        <v>93</v>
      </c>
      <c r="BE6" s="5">
        <f>IFERROR(BD6/L6,0)</f>
        <v>3.6186770428015564</v>
      </c>
      <c r="BF6" s="21">
        <f>IFERROR((BD6*1)/BB6,0)</f>
        <v>5.9160305343511452E-2</v>
      </c>
      <c r="BG6" s="6">
        <f>EB6</f>
        <v>45</v>
      </c>
      <c r="BH6" s="5">
        <f>IFERROR(BG6/L6,0)</f>
        <v>1.7509727626459144</v>
      </c>
      <c r="BI6" s="6">
        <f>EC6</f>
        <v>26</v>
      </c>
      <c r="BJ6" s="5">
        <f>IFERROR(BI6/L6,0)</f>
        <v>1.0116731517509727</v>
      </c>
      <c r="BK6" s="21">
        <f>IFERROR(EC6/EB6,0)</f>
        <v>0.57777777777777772</v>
      </c>
      <c r="BL6" s="6">
        <f>EB6-EC6</f>
        <v>19</v>
      </c>
      <c r="BM6" s="5">
        <f>IFERROR(BL6/L6,0)</f>
        <v>0.73929961089494167</v>
      </c>
      <c r="BN6" s="6">
        <f>IFERROR((BO6*L6),0)</f>
        <v>2.5700000000000003</v>
      </c>
      <c r="BO6" s="5">
        <f>ED6</f>
        <v>0.1</v>
      </c>
      <c r="BP6" s="21">
        <f>IFERROR((BI6*1)/BG6,0)</f>
        <v>0.57777777777777772</v>
      </c>
      <c r="BQ6" s="6">
        <f>EM6+EA6</f>
        <v>66</v>
      </c>
      <c r="BR6" s="5">
        <f>IFERROR(BQ6/L6,0)</f>
        <v>2.568093385214008</v>
      </c>
      <c r="BS6" s="6">
        <f>EN6</f>
        <v>21</v>
      </c>
      <c r="BT6" s="5">
        <f>IFERROR(BS6/L6,0)</f>
        <v>0.81712062256809337</v>
      </c>
      <c r="BU6" s="6">
        <f>EM6-EN6</f>
        <v>13</v>
      </c>
      <c r="BV6" s="5">
        <f>IFERROR(BU6/L6,0)</f>
        <v>0.50583657587548636</v>
      </c>
      <c r="BW6" s="21">
        <f>IFERROR((BS6*1)/BQ6,0)</f>
        <v>0.31818181818181818</v>
      </c>
      <c r="BX6" s="6">
        <f>EO6</f>
        <v>3</v>
      </c>
      <c r="BY6" s="5">
        <f>IFERROR(BX6/L6,0)</f>
        <v>0.11673151750972763</v>
      </c>
      <c r="BZ6" s="2">
        <f>EG6</f>
        <v>17</v>
      </c>
      <c r="CA6" s="5">
        <f>IFERROR(BZ6/L6,0)</f>
        <v>0.66147859922178986</v>
      </c>
      <c r="CB6" s="6">
        <f>IFERROR(EQ6+EP6+ER6+EO6+(EU6*L6),0)</f>
        <v>446.52</v>
      </c>
      <c r="CC6" s="5">
        <f>IFERROR(CB6/L6,0)</f>
        <v>17.374319066147859</v>
      </c>
      <c r="CD6" s="5">
        <f>IFERROR((DX6+EG6+DU6)/L6,0)</f>
        <v>0.81712062256809337</v>
      </c>
      <c r="CE6" s="6">
        <f>SUM(EN:EN)</f>
        <v>233</v>
      </c>
      <c r="CF6" s="390">
        <f>IFERROR((EN6*1)/CE6,0)</f>
        <v>9.012875536480687E-2</v>
      </c>
      <c r="CG6" s="384">
        <f>ER6+EQ6+ES6+EP6</f>
        <v>110</v>
      </c>
      <c r="CH6" s="385">
        <f>IFERROR(CG6/L6,0)</f>
        <v>4.2801556420233462</v>
      </c>
      <c r="CI6" s="384">
        <f>EL6+EN6+(EO6*0.5)</f>
        <v>58.5</v>
      </c>
      <c r="CJ6" s="385">
        <f>IFERROR(CI6/L6,0)</f>
        <v>2.2762645914396886</v>
      </c>
      <c r="CK6" s="388">
        <f>EU6</f>
        <v>13.6</v>
      </c>
      <c r="CL6" s="61">
        <f>IFERROR((DS6*3)+(DV6*1.5)+(DW6*2)+EM6+EQ6+ES6+EP6+ER6+EA6+(BN6*0.5),0)</f>
        <v>183.285</v>
      </c>
      <c r="CM6" s="62">
        <f>IFERROR(CL6/L6,0)</f>
        <v>7.1317120622568098</v>
      </c>
      <c r="CN6" s="61">
        <f>IFERROR(EN6+EQ6+EO6+ES6+EP6+ER6+(BN6*0.5),0)</f>
        <v>135.285</v>
      </c>
      <c r="CO6" s="62">
        <f>IFERROR(CN6/L6,0)</f>
        <v>5.2640077821011673</v>
      </c>
      <c r="CP6" s="320">
        <f>IFERROR((DS6*3)+(DV6*1.25)+(DW6*2)+EA6+AY6,0)</f>
        <v>159</v>
      </c>
      <c r="CQ6" s="321">
        <f>CP6/L6</f>
        <v>6.1867704280155644</v>
      </c>
      <c r="CR6" s="350">
        <f>IFERROR(CN6/CL6,0)</f>
        <v>0.73811277518618545</v>
      </c>
      <c r="CS6" s="191">
        <f>IFERROR(SUBSTITUTE(DZ6,".","," ),0)*1</f>
        <v>2.96</v>
      </c>
      <c r="CT6" s="191">
        <f>IFERROR(CS6/EG6,0)</f>
        <v>0.17411764705882352</v>
      </c>
      <c r="CU6" s="6">
        <f>IFERROR(EG6+DX6,0)</f>
        <v>19</v>
      </c>
      <c r="CV6" s="62">
        <f>IFERROR(CU6/L6,0)</f>
        <v>0.73929961089494167</v>
      </c>
      <c r="CW6" s="5">
        <f>IFERROR(VALUE(SUBSTITUTE(EY6, " km", "")),0)</f>
        <v>289.5</v>
      </c>
      <c r="CX6" s="5">
        <f>IFERROR(CW6/L6,0)</f>
        <v>11.264591439688717</v>
      </c>
      <c r="CY6" s="323">
        <f>IFERROR((((CW6*1000)/(DP6*60))*3600)/1000,0)</f>
        <v>7.5097276264591448</v>
      </c>
      <c r="CZ6" s="406">
        <f>CW6/(EN6+EL6+EQ6+EP6+(EO6*1.5))</f>
        <v>1.8983606557377048</v>
      </c>
      <c r="DA6" s="407">
        <f>(EC6+EN6)/CW6</f>
        <v>0.16234887737478412</v>
      </c>
      <c r="DB6" s="180">
        <f>IFERROR((EE6-EF6)+(EB6-EC6)+(EI6-EJ6),0)</f>
        <v>145</v>
      </c>
      <c r="DC6" s="117">
        <f>IFERROR(DB6/L6,0)</f>
        <v>5.6420233463035023</v>
      </c>
      <c r="DD6" s="117">
        <f>DY6</f>
        <v>6.7</v>
      </c>
      <c r="DE6" s="117">
        <f>IFERROR(VALUE(SUBSTITUTE(EZ6, ".", ",")),0)</f>
        <v>6.98</v>
      </c>
      <c r="DF6" s="298"/>
      <c r="DG6" s="294" t="s">
        <v>1015</v>
      </c>
      <c r="DH6" s="294" t="s">
        <v>1016</v>
      </c>
      <c r="DI6" s="294">
        <v>24</v>
      </c>
      <c r="DJ6" s="294" t="s">
        <v>1003</v>
      </c>
      <c r="DK6" s="294" t="s">
        <v>829</v>
      </c>
      <c r="DL6" s="294" t="s">
        <v>601</v>
      </c>
      <c r="DM6" s="294" t="s">
        <v>1017</v>
      </c>
      <c r="DN6" s="294" t="s">
        <v>999</v>
      </c>
      <c r="DO6" s="295">
        <v>47299</v>
      </c>
      <c r="DP6" s="294">
        <v>2313</v>
      </c>
      <c r="DQ6" s="294" t="s">
        <v>1018</v>
      </c>
      <c r="DR6" s="294">
        <v>1</v>
      </c>
      <c r="DS6" s="294">
        <v>0</v>
      </c>
      <c r="DT6" s="294">
        <v>0</v>
      </c>
      <c r="DU6" s="294">
        <v>2</v>
      </c>
      <c r="DV6" s="294">
        <v>4</v>
      </c>
      <c r="DW6" s="294">
        <v>0</v>
      </c>
      <c r="DX6" s="294">
        <v>2</v>
      </c>
      <c r="DY6" s="294">
        <v>6.7</v>
      </c>
      <c r="DZ6" s="294" t="s">
        <v>1104</v>
      </c>
      <c r="EA6" s="294">
        <v>32</v>
      </c>
      <c r="EB6" s="294">
        <v>45</v>
      </c>
      <c r="EC6" s="294">
        <v>26</v>
      </c>
      <c r="ED6" s="294">
        <v>0.1</v>
      </c>
      <c r="EE6" s="294">
        <v>1665</v>
      </c>
      <c r="EF6" s="294">
        <v>1543</v>
      </c>
      <c r="EG6" s="294">
        <v>17</v>
      </c>
      <c r="EH6" s="294">
        <v>93</v>
      </c>
      <c r="EI6" s="294">
        <v>4</v>
      </c>
      <c r="EJ6" s="294">
        <v>0</v>
      </c>
      <c r="EK6" s="294">
        <v>174</v>
      </c>
      <c r="EL6" s="294">
        <v>36</v>
      </c>
      <c r="EM6" s="294">
        <v>34</v>
      </c>
      <c r="EN6" s="294">
        <v>21</v>
      </c>
      <c r="EO6" s="294">
        <v>3</v>
      </c>
      <c r="EP6" s="294">
        <v>14</v>
      </c>
      <c r="EQ6" s="294">
        <v>77</v>
      </c>
      <c r="ER6" s="294">
        <v>3</v>
      </c>
      <c r="ES6" s="294">
        <v>16</v>
      </c>
      <c r="ET6" s="294">
        <v>18</v>
      </c>
      <c r="EU6" s="294">
        <v>13.6</v>
      </c>
      <c r="EV6" s="294">
        <v>0</v>
      </c>
      <c r="EW6" s="294">
        <v>0</v>
      </c>
      <c r="EX6" s="294">
        <v>0</v>
      </c>
      <c r="EY6" s="294" t="s">
        <v>1019</v>
      </c>
      <c r="EZ6" s="299">
        <v>6.98</v>
      </c>
    </row>
    <row r="7" spans="1:156" ht="24.95" customHeight="1" thickBot="1" x14ac:dyDescent="0.3">
      <c r="A7" s="29" t="str">
        <f t="shared" si="0"/>
        <v>6º</v>
      </c>
      <c r="B7" s="69" t="str">
        <f>DH7</f>
        <v>Martín Zubimendi</v>
      </c>
      <c r="C7" s="86" t="str">
        <f>DG7</f>
        <v>ESP</v>
      </c>
      <c r="D7" s="99" t="str">
        <f>DL7</f>
        <v>Pé Direito</v>
      </c>
      <c r="E7" s="28" t="str">
        <f>DJ7</f>
        <v>Arsenal</v>
      </c>
      <c r="F7" s="166">
        <f>IFERROR(SUBSTITUTE(DK7," cm","")/100,0)</f>
        <v>1.81</v>
      </c>
      <c r="G7" s="36">
        <f>DI7</f>
        <v>27</v>
      </c>
      <c r="H7" s="316" t="str">
        <f>DN7</f>
        <v>€250m p/m</v>
      </c>
      <c r="I7" s="35">
        <f>IF(DO7="-", "Sem Data Final", DO7)</f>
        <v>47664</v>
      </c>
      <c r="J7" s="199" t="str">
        <f>DM7</f>
        <v>€76M - €92M</v>
      </c>
      <c r="K7" s="96">
        <f>AVERAGE(L:L)</f>
        <v>23.994444444444444</v>
      </c>
      <c r="L7" s="144">
        <f>DP7/90</f>
        <v>34.711111111111109</v>
      </c>
      <c r="M7" s="144">
        <f>IF(ISERROR(FIND("(",DQ7)), VALUE(DQ7), VALUE(LEFT(DQ7,FIND("(",DQ7)-2)) + VALUE(MID(DQ7,FIND("(",DQ7)+1,FIND(")",DQ7)-FIND("(",DQ7)-1)))</f>
        <v>40</v>
      </c>
      <c r="N7" s="144">
        <f>IFERROR(DP7/M7,0)</f>
        <v>78.099999999999994</v>
      </c>
      <c r="O7" s="184">
        <f>IFERROR(IF(ISERROR(FIND("(",DQ7)), "100%", TEXT(VALUE(LEFT(DQ7,FIND("(",DQ7)-2)) / (VALUE(LEFT(DQ7,FIND("(",DQ7)-2)) + VALUE(MID(DQ7,FIND("(",DQ7)+1,FIND(")",DQ7)-FIND("(",DQ7)-1))),"0%")),0)*1</f>
        <v>0.95</v>
      </c>
      <c r="P7" s="2">
        <f>DT7</f>
        <v>2</v>
      </c>
      <c r="Q7" s="2">
        <f>DU7</f>
        <v>4</v>
      </c>
      <c r="R7" s="2">
        <f>IFERROR(P7+Q7,0)</f>
        <v>6</v>
      </c>
      <c r="S7" s="6">
        <f>DR7</f>
        <v>2</v>
      </c>
      <c r="T7" s="21">
        <f>IFERROR((S7*1)/L7,0)</f>
        <v>5.7618437900128043E-2</v>
      </c>
      <c r="U7" s="56">
        <f>EW7</f>
        <v>0</v>
      </c>
      <c r="V7" s="56">
        <f>EX7</f>
        <v>0</v>
      </c>
      <c r="W7" s="56">
        <f>IFERROR(U7-V7,0)</f>
        <v>0</v>
      </c>
      <c r="X7" s="60">
        <f>IFERROR((V7*1)/U7,0.0000001)</f>
        <v>9.9999999999999995E-8</v>
      </c>
      <c r="Y7" s="338">
        <f>EA7</f>
        <v>16</v>
      </c>
      <c r="Z7" s="315">
        <f>IFERROR(Y7/L7,0)</f>
        <v>0.46094750320102434</v>
      </c>
      <c r="AA7" s="2">
        <f>DV7</f>
        <v>7</v>
      </c>
      <c r="AB7" s="2">
        <f>DW7</f>
        <v>0</v>
      </c>
      <c r="AC7" s="2">
        <f>IFERROR(DV7+DW7,0)</f>
        <v>7</v>
      </c>
      <c r="AD7" s="5">
        <f>AC7/L7</f>
        <v>0.20166453265044815</v>
      </c>
      <c r="AE7" s="402">
        <f>IFERROR(EA7/(DV7),50)</f>
        <v>2.2857142857142856</v>
      </c>
      <c r="AF7" s="402">
        <f>IFERROR(EA7/(DV7+DW7),50)</f>
        <v>2.2857142857142856</v>
      </c>
      <c r="AG7" s="2">
        <f>Y7-(AA7+AB7)</f>
        <v>9</v>
      </c>
      <c r="AH7" s="21">
        <f>IFERROR((AC7*1)/Y7,0)</f>
        <v>0.4375</v>
      </c>
      <c r="AI7" s="208">
        <f>EK7</f>
        <v>205</v>
      </c>
      <c r="AJ7" s="196">
        <f>IFERROR(AI7/L7,0)</f>
        <v>5.9058898847631243</v>
      </c>
      <c r="AK7" s="208">
        <f>EL7</f>
        <v>48</v>
      </c>
      <c r="AL7" s="196">
        <f>IFERROR(AK7/L7,0)</f>
        <v>1.382842509603073</v>
      </c>
      <c r="AM7" s="21">
        <f>IFERROR(AK7/AI7,0)</f>
        <v>0.23414634146341465</v>
      </c>
      <c r="AN7" s="6">
        <f>IFERROR(EB7+EM7+EA7,0)</f>
        <v>105</v>
      </c>
      <c r="AO7" s="5">
        <f>IFERROR(AN7/L7,0)</f>
        <v>3.0249679897567225</v>
      </c>
      <c r="AP7" s="6">
        <f>IFERROR(EC7+EN7+EO7,0)</f>
        <v>62</v>
      </c>
      <c r="AQ7" s="5">
        <f>IFERROR(AP7/L7,0)</f>
        <v>1.7861715749039695</v>
      </c>
      <c r="AR7" s="21">
        <f>IFERROR((AP7*1)/AN7,0)</f>
        <v>0.59047619047619049</v>
      </c>
      <c r="AS7" s="2">
        <f>IFERROR(EA7-DV7-DW7,0)</f>
        <v>9</v>
      </c>
      <c r="AT7" s="21">
        <f>IFERROR((AS7*1)/EA7,0)</f>
        <v>0.5625</v>
      </c>
      <c r="AU7" s="6">
        <f>EE7</f>
        <v>2197</v>
      </c>
      <c r="AV7" s="6">
        <f>EF7</f>
        <v>2045</v>
      </c>
      <c r="AW7" s="5">
        <f>IFERROR((AV7/L7),0)</f>
        <v>58.914852752880925</v>
      </c>
      <c r="AX7" s="5">
        <f>IFERROR((AV7-AY7)/(DP7/90),0)</f>
        <v>54.535851472471194</v>
      </c>
      <c r="AY7" s="6">
        <f>AU7-AV7</f>
        <v>152</v>
      </c>
      <c r="AZ7" s="5">
        <f>IFERROR(AY7/L7,0)</f>
        <v>4.3790012804097316</v>
      </c>
      <c r="BA7" s="20">
        <f>IFERROR((EF7*1)/EE7,0)</f>
        <v>0.93081474738279468</v>
      </c>
      <c r="BB7" s="317">
        <f>(EE7-EH7)</f>
        <v>1949</v>
      </c>
      <c r="BC7" s="5">
        <f>IFERROR(BB7/L7,0)</f>
        <v>56.14916773367478</v>
      </c>
      <c r="BD7" s="6">
        <f>EH7</f>
        <v>248</v>
      </c>
      <c r="BE7" s="5">
        <f>IFERROR(BD7/L7,0)</f>
        <v>7.144686299615878</v>
      </c>
      <c r="BF7" s="21">
        <f>IFERROR((BD7*1)/BB7,0)</f>
        <v>0.12724474089276552</v>
      </c>
      <c r="BG7" s="6">
        <f>EB7</f>
        <v>45</v>
      </c>
      <c r="BH7" s="5">
        <f>IFERROR(BG7/L7,0)</f>
        <v>1.2964148527528809</v>
      </c>
      <c r="BI7" s="6">
        <f>EC7</f>
        <v>33</v>
      </c>
      <c r="BJ7" s="5">
        <f>IFERROR(BI7/L7,0)</f>
        <v>0.95070422535211274</v>
      </c>
      <c r="BK7" s="21">
        <f>IFERROR(EC7/EB7,0)</f>
        <v>0.73333333333333328</v>
      </c>
      <c r="BL7" s="6">
        <f>EB7-EC7</f>
        <v>12</v>
      </c>
      <c r="BM7" s="5">
        <f>IFERROR(BL7/L7,0)</f>
        <v>0.34571062740076824</v>
      </c>
      <c r="BN7" s="6">
        <f>IFERROR((BO7*L7),0)</f>
        <v>0</v>
      </c>
      <c r="BO7" s="5">
        <f>ED7</f>
        <v>0</v>
      </c>
      <c r="BP7" s="21">
        <f>IFERROR((BI7*1)/BG7,0)</f>
        <v>0.73333333333333328</v>
      </c>
      <c r="BQ7" s="6">
        <f>EM7+EA7</f>
        <v>60</v>
      </c>
      <c r="BR7" s="5">
        <f>IFERROR(BQ7/L7,0)</f>
        <v>1.7285531370038414</v>
      </c>
      <c r="BS7" s="6">
        <f>EN7</f>
        <v>26</v>
      </c>
      <c r="BT7" s="5">
        <f>IFERROR(BS7/L7,0)</f>
        <v>0.74903969270166459</v>
      </c>
      <c r="BU7" s="6">
        <f>EM7-EN7</f>
        <v>18</v>
      </c>
      <c r="BV7" s="5">
        <f>IFERROR(BU7/L7,0)</f>
        <v>0.51856594110115239</v>
      </c>
      <c r="BW7" s="21">
        <f>IFERROR((BS7*1)/BQ7,0)</f>
        <v>0.43333333333333335</v>
      </c>
      <c r="BX7" s="6">
        <f>EO7</f>
        <v>3</v>
      </c>
      <c r="BY7" s="5">
        <f>IFERROR(BX7/L7,0)</f>
        <v>8.6427656850192061E-2</v>
      </c>
      <c r="BZ7" s="2">
        <f>EG7</f>
        <v>39</v>
      </c>
      <c r="CA7" s="5">
        <f>IFERROR(BZ7/L7,0)</f>
        <v>1.1235595390524968</v>
      </c>
      <c r="CB7" s="6">
        <f>IFERROR(EQ7+EP7+ER7+EO7+(EU7*L7),0)</f>
        <v>640.78222222222212</v>
      </c>
      <c r="CC7" s="5">
        <f>IFERROR(CB7/L7,0)</f>
        <v>18.460435339308578</v>
      </c>
      <c r="CD7" s="5">
        <f>IFERROR((DX7+EG7+DU7)/L7,0)</f>
        <v>1.4980793854033292</v>
      </c>
      <c r="CE7" s="6">
        <f>SUM(EN:EN)</f>
        <v>233</v>
      </c>
      <c r="CF7" s="390">
        <f>IFERROR((EN7*1)/CE7,0)</f>
        <v>0.11158798283261803</v>
      </c>
      <c r="CG7" s="384">
        <f>ER7+EQ7+ES7+EP7</f>
        <v>164</v>
      </c>
      <c r="CH7" s="385">
        <f>IFERROR(CG7/L7,0)</f>
        <v>4.7247119078104998</v>
      </c>
      <c r="CI7" s="384">
        <f>EL7+EN7+(EO7*0.5)</f>
        <v>75.5</v>
      </c>
      <c r="CJ7" s="385">
        <f>IFERROR(CI7/L7,0)</f>
        <v>2.1750960307298337</v>
      </c>
      <c r="CK7" s="388">
        <f>EU7</f>
        <v>14.6</v>
      </c>
      <c r="CL7" s="61">
        <f>IFERROR((DS7*3)+(DV7*1.5)+(DW7*2)+EM7+EQ7+ES7+EP7+ER7+EA7+(BN7*0.5),0)</f>
        <v>234.5</v>
      </c>
      <c r="CM7" s="62">
        <f>IFERROR(CL7/L7,0)</f>
        <v>6.7557618437900135</v>
      </c>
      <c r="CN7" s="61">
        <f>IFERROR(EN7+EQ7+EO7+ES7+EP7+ER7+(BN7*0.5),0)</f>
        <v>193</v>
      </c>
      <c r="CO7" s="62">
        <f>IFERROR(CN7/L7,0)</f>
        <v>5.5601792573623561</v>
      </c>
      <c r="CP7" s="320">
        <f>IFERROR((DS7*3)+(DV7*1.25)+(DW7*2)+EA7+AY7,0)</f>
        <v>176.75</v>
      </c>
      <c r="CQ7" s="321">
        <f>CP7/L7</f>
        <v>5.0920294494238156</v>
      </c>
      <c r="CR7" s="350">
        <f>IFERROR(CN7/CL7,0)</f>
        <v>0.82302771855010659</v>
      </c>
      <c r="CS7" s="191">
        <f>IFERROR(SUBSTITUTE(DZ7,".","," ),0)*1</f>
        <v>5.92</v>
      </c>
      <c r="CT7" s="191">
        <f>IFERROR(CS7/EG7,0)</f>
        <v>0.15179487179487181</v>
      </c>
      <c r="CU7" s="6">
        <f>IFERROR(EG7+DX7,0)</f>
        <v>48</v>
      </c>
      <c r="CV7" s="62">
        <f>IFERROR(CU7/L7,0)</f>
        <v>1.382842509603073</v>
      </c>
      <c r="CW7" s="5">
        <f>IFERROR(VALUE(SUBSTITUTE(EY7, " km", "")),0)</f>
        <v>387.9</v>
      </c>
      <c r="CX7" s="5">
        <f>IFERROR(CW7/L7,0)</f>
        <v>11.175096030729833</v>
      </c>
      <c r="CY7" s="323">
        <f>IFERROR((((CW7*1000)/(DP7*60))*3600)/1000,0)</f>
        <v>7.4500640204865558</v>
      </c>
      <c r="CZ7" s="406">
        <f>CW7/(EN7+EL7+EQ7+EP7+(EO7*1.5))</f>
        <v>1.8968215158924204</v>
      </c>
      <c r="DA7" s="407">
        <f>(EC7+EN7)/CW7</f>
        <v>0.15210105697344678</v>
      </c>
      <c r="DB7" s="180">
        <f>IFERROR((EE7-EF7)+(EB7-EC7)+(EI7-EJ7),0)</f>
        <v>177</v>
      </c>
      <c r="DC7" s="117">
        <f>IFERROR(DB7/L7,0)</f>
        <v>5.0992317541613321</v>
      </c>
      <c r="DD7" s="117">
        <f>DY7</f>
        <v>4.8</v>
      </c>
      <c r="DE7" s="117">
        <f>IFERROR(VALUE(SUBSTITUTE(EZ7, ".", ",")),0)</f>
        <v>7.05</v>
      </c>
      <c r="DF7" s="296"/>
      <c r="DG7" s="292" t="s">
        <v>646</v>
      </c>
      <c r="DH7" s="292" t="s">
        <v>990</v>
      </c>
      <c r="DI7" s="292">
        <v>27</v>
      </c>
      <c r="DJ7" s="292" t="s">
        <v>991</v>
      </c>
      <c r="DK7" s="292" t="s">
        <v>575</v>
      </c>
      <c r="DL7" s="292" t="s">
        <v>601</v>
      </c>
      <c r="DM7" s="292" t="s">
        <v>992</v>
      </c>
      <c r="DN7" s="292" t="s">
        <v>993</v>
      </c>
      <c r="DO7" s="293">
        <v>47664</v>
      </c>
      <c r="DP7" s="292">
        <v>3124</v>
      </c>
      <c r="DQ7" s="292" t="s">
        <v>994</v>
      </c>
      <c r="DR7" s="292">
        <v>2</v>
      </c>
      <c r="DS7" s="292">
        <v>0</v>
      </c>
      <c r="DT7" s="292">
        <v>2</v>
      </c>
      <c r="DU7" s="292">
        <v>4</v>
      </c>
      <c r="DV7" s="292">
        <v>7</v>
      </c>
      <c r="DW7" s="292">
        <v>0</v>
      </c>
      <c r="DX7" s="292">
        <v>9</v>
      </c>
      <c r="DY7" s="292">
        <v>4.8</v>
      </c>
      <c r="DZ7" s="292" t="s">
        <v>1103</v>
      </c>
      <c r="EA7" s="292">
        <v>16</v>
      </c>
      <c r="EB7" s="292">
        <v>45</v>
      </c>
      <c r="EC7" s="292">
        <v>33</v>
      </c>
      <c r="ED7" s="292">
        <v>0</v>
      </c>
      <c r="EE7" s="292">
        <v>2197</v>
      </c>
      <c r="EF7" s="292">
        <v>2045</v>
      </c>
      <c r="EG7" s="292">
        <v>39</v>
      </c>
      <c r="EH7" s="292">
        <v>248</v>
      </c>
      <c r="EI7" s="292">
        <v>19</v>
      </c>
      <c r="EJ7" s="292">
        <v>6</v>
      </c>
      <c r="EK7" s="292">
        <v>205</v>
      </c>
      <c r="EL7" s="292">
        <v>48</v>
      </c>
      <c r="EM7" s="292">
        <v>44</v>
      </c>
      <c r="EN7" s="292">
        <v>26</v>
      </c>
      <c r="EO7" s="292">
        <v>3</v>
      </c>
      <c r="EP7" s="292">
        <v>28</v>
      </c>
      <c r="EQ7" s="292">
        <v>98</v>
      </c>
      <c r="ER7" s="292">
        <v>5</v>
      </c>
      <c r="ES7" s="292">
        <v>33</v>
      </c>
      <c r="ET7" s="292">
        <v>17</v>
      </c>
      <c r="EU7" s="292">
        <v>14.6</v>
      </c>
      <c r="EV7" s="292">
        <v>0</v>
      </c>
      <c r="EW7" s="292">
        <v>0</v>
      </c>
      <c r="EX7" s="292">
        <v>0</v>
      </c>
      <c r="EY7" s="292" t="s">
        <v>995</v>
      </c>
      <c r="EZ7" s="297">
        <v>7.05</v>
      </c>
    </row>
    <row r="8" spans="1:156" ht="24.95" customHeight="1" thickBot="1" x14ac:dyDescent="0.3">
      <c r="A8" s="29" t="str">
        <f t="shared" si="0"/>
        <v>7º</v>
      </c>
      <c r="B8" s="69" t="str">
        <f>DH8</f>
        <v>Moisés Caicedo</v>
      </c>
      <c r="C8" s="86" t="str">
        <f>DG8</f>
        <v>ECU</v>
      </c>
      <c r="D8" s="99" t="str">
        <f>DL8</f>
        <v>Pé Direito</v>
      </c>
      <c r="E8" s="28" t="str">
        <f>DJ8</f>
        <v>Chelsea</v>
      </c>
      <c r="F8" s="166">
        <f>IFERROR(SUBSTITUTE(DK8," cm","")/100,0)</f>
        <v>1.78</v>
      </c>
      <c r="G8" s="36">
        <f>DI8</f>
        <v>24</v>
      </c>
      <c r="H8" s="316" t="str">
        <f>DN8</f>
        <v>€884m p/m</v>
      </c>
      <c r="I8" s="35">
        <f>IF(DO8="-", "Sem Data Final", DO8)</f>
        <v>48760</v>
      </c>
      <c r="J8" s="199" t="str">
        <f>DM8</f>
        <v>Não está à venda</v>
      </c>
      <c r="K8" s="96">
        <f>AVERAGE(L:L)</f>
        <v>23.994444444444444</v>
      </c>
      <c r="L8" s="144">
        <f>DP8/90</f>
        <v>34.922222222222224</v>
      </c>
      <c r="M8" s="144">
        <f>IF(ISERROR(FIND("(",DQ8)), VALUE(DQ8), VALUE(LEFT(DQ8,FIND("(",DQ8)-2)) + VALUE(MID(DQ8,FIND("(",DQ8)+1,FIND(")",DQ8)-FIND("(",DQ8)-1)))</f>
        <v>39</v>
      </c>
      <c r="N8" s="144">
        <f>IFERROR(DP8/M8,0)</f>
        <v>80.589743589743591</v>
      </c>
      <c r="O8" s="184">
        <f>IFERROR(IF(ISERROR(FIND("(",DQ8)), "100%", TEXT(VALUE(LEFT(DQ8,FIND("(",DQ8)-2)) / (VALUE(LEFT(DQ8,FIND("(",DQ8)-2)) + VALUE(MID(DQ8,FIND("(",DQ8)+1,FIND(")",DQ8)-FIND("(",DQ8)-1))),"0%")),0)*1</f>
        <v>1</v>
      </c>
      <c r="P8" s="2">
        <f>DT8</f>
        <v>0</v>
      </c>
      <c r="Q8" s="2">
        <f>DU8</f>
        <v>6</v>
      </c>
      <c r="R8" s="2">
        <f>IFERROR(P8+Q8,0)</f>
        <v>6</v>
      </c>
      <c r="S8" s="6">
        <f>DR8</f>
        <v>2</v>
      </c>
      <c r="T8" s="21">
        <f>IFERROR((S8*1)/L8,0)</f>
        <v>5.7270124085268846E-2</v>
      </c>
      <c r="U8" s="56">
        <f>EW8</f>
        <v>0</v>
      </c>
      <c r="V8" s="56">
        <f>EX8</f>
        <v>0</v>
      </c>
      <c r="W8" s="56">
        <f>IFERROR(U8-V8,0)</f>
        <v>0</v>
      </c>
      <c r="X8" s="60">
        <f>IFERROR((V8*1)/U8,0.0000001)</f>
        <v>9.9999999999999995E-8</v>
      </c>
      <c r="Y8" s="338">
        <f>EA8</f>
        <v>15</v>
      </c>
      <c r="Z8" s="315">
        <f>IFERROR(Y8/L8,0)</f>
        <v>0.42952593063951638</v>
      </c>
      <c r="AA8" s="2">
        <f>DV8</f>
        <v>2</v>
      </c>
      <c r="AB8" s="2">
        <f>DW8</f>
        <v>0</v>
      </c>
      <c r="AC8" s="2">
        <f>IFERROR(DV8+DW8,0)</f>
        <v>2</v>
      </c>
      <c r="AD8" s="5">
        <f>AC8/L8</f>
        <v>5.7270124085268846E-2</v>
      </c>
      <c r="AE8" s="402">
        <f>IFERROR(EA8/(DV8),50)</f>
        <v>7.5</v>
      </c>
      <c r="AF8" s="402">
        <f>IFERROR(EA8/(DV8+DW8),50)</f>
        <v>7.5</v>
      </c>
      <c r="AG8" s="2">
        <f>Y8-(AA8+AB8)</f>
        <v>13</v>
      </c>
      <c r="AH8" s="21">
        <f>IFERROR((AC8*1)/Y8,0)</f>
        <v>0.13333333333333333</v>
      </c>
      <c r="AI8" s="208">
        <f>EK8</f>
        <v>194</v>
      </c>
      <c r="AJ8" s="196">
        <f>IFERROR(AI8/L8,0)</f>
        <v>5.5552020362710781</v>
      </c>
      <c r="AK8" s="208">
        <f>EL8</f>
        <v>51</v>
      </c>
      <c r="AL8" s="196">
        <f>IFERROR(AK8/L8,0)</f>
        <v>1.4603881641743557</v>
      </c>
      <c r="AM8" s="21">
        <f>IFERROR(AK8/AI8,0)</f>
        <v>0.26288659793814434</v>
      </c>
      <c r="AN8" s="6">
        <f>IFERROR(EB8+EM8+EA8,0)</f>
        <v>106</v>
      </c>
      <c r="AO8" s="5">
        <f>IFERROR(AN8/L8,0)</f>
        <v>3.0353165765192491</v>
      </c>
      <c r="AP8" s="6">
        <f>IFERROR(EC8+EN8+EO8,0)</f>
        <v>48</v>
      </c>
      <c r="AQ8" s="5">
        <f>IFERROR(AP8/L8,0)</f>
        <v>1.3744829780464523</v>
      </c>
      <c r="AR8" s="21">
        <f>IFERROR((AP8*1)/AN8,0)</f>
        <v>0.45283018867924529</v>
      </c>
      <c r="AS8" s="2">
        <f>IFERROR(EA8-DV8-DW8,0)</f>
        <v>13</v>
      </c>
      <c r="AT8" s="21">
        <f>IFERROR((AS8*1)/EA8,0)</f>
        <v>0.8666666666666667</v>
      </c>
      <c r="AU8" s="6">
        <f>EE8</f>
        <v>2058</v>
      </c>
      <c r="AV8" s="6">
        <f>EF8</f>
        <v>1945</v>
      </c>
      <c r="AW8" s="5">
        <f>IFERROR((AV8/L8),0)</f>
        <v>55.695195672923951</v>
      </c>
      <c r="AX8" s="5">
        <f>IFERROR((AV8-AY8)/(DP8/90),0)</f>
        <v>52.459433662106264</v>
      </c>
      <c r="AY8" s="6">
        <f>AU8-AV8</f>
        <v>113</v>
      </c>
      <c r="AZ8" s="5">
        <f>IFERROR(AY8/L8,0)</f>
        <v>3.2357620108176901</v>
      </c>
      <c r="BA8" s="20">
        <f>IFERROR((EF8*1)/EE8,0)</f>
        <v>0.94509232264334309</v>
      </c>
      <c r="BB8" s="317">
        <f>(EE8-EH8)</f>
        <v>1828</v>
      </c>
      <c r="BC8" s="5">
        <f>IFERROR(BB8/L8,0)</f>
        <v>52.344893413935729</v>
      </c>
      <c r="BD8" s="6">
        <f>EH8</f>
        <v>230</v>
      </c>
      <c r="BE8" s="5">
        <f>IFERROR(BD8/L8,0)</f>
        <v>6.5860642698059175</v>
      </c>
      <c r="BF8" s="21">
        <f>IFERROR((BD8*1)/BB8,0)</f>
        <v>0.12582056892778992</v>
      </c>
      <c r="BG8" s="6">
        <f>EB8</f>
        <v>43</v>
      </c>
      <c r="BH8" s="5">
        <f>IFERROR(BG8/L8,0)</f>
        <v>1.2313076678332802</v>
      </c>
      <c r="BI8" s="6">
        <f>EC8</f>
        <v>18</v>
      </c>
      <c r="BJ8" s="5">
        <f>IFERROR(BI8/L8,0)</f>
        <v>0.51543111676741959</v>
      </c>
      <c r="BK8" s="21">
        <f>IFERROR(EC8/EB8,0)</f>
        <v>0.41860465116279072</v>
      </c>
      <c r="BL8" s="6">
        <f>EB8-EC8</f>
        <v>25</v>
      </c>
      <c r="BM8" s="5">
        <f>IFERROR(BL8/L8,0)</f>
        <v>0.71587655106586057</v>
      </c>
      <c r="BN8" s="6">
        <f>IFERROR((BO8*L8),0)</f>
        <v>0</v>
      </c>
      <c r="BO8" s="5">
        <f>ED8</f>
        <v>0</v>
      </c>
      <c r="BP8" s="21">
        <f>IFERROR((BI8*1)/BG8,0)</f>
        <v>0.41860465116279072</v>
      </c>
      <c r="BQ8" s="6">
        <f>EM8+EA8</f>
        <v>63</v>
      </c>
      <c r="BR8" s="5">
        <f>IFERROR(BQ8/L8,0)</f>
        <v>1.8040089086859687</v>
      </c>
      <c r="BS8" s="6">
        <f>EN8</f>
        <v>29</v>
      </c>
      <c r="BT8" s="5">
        <f>IFERROR(BS8/L8,0)</f>
        <v>0.83041679923639833</v>
      </c>
      <c r="BU8" s="6">
        <f>EM8-EN8</f>
        <v>19</v>
      </c>
      <c r="BV8" s="5">
        <f>IFERROR(BU8/L8,0)</f>
        <v>0.54406617881005404</v>
      </c>
      <c r="BW8" s="21">
        <f>IFERROR((BS8*1)/BQ8,0)</f>
        <v>0.46031746031746029</v>
      </c>
      <c r="BX8" s="6">
        <f>EO8</f>
        <v>1</v>
      </c>
      <c r="BY8" s="5">
        <f>IFERROR(BX8/L8,0)</f>
        <v>2.8635062042634423E-2</v>
      </c>
      <c r="BZ8" s="2">
        <f>EG8</f>
        <v>25</v>
      </c>
      <c r="CA8" s="5">
        <f>IFERROR(BZ8/L8,0)</f>
        <v>0.71587655106586057</v>
      </c>
      <c r="CB8" s="6">
        <f>IFERROR(EQ8+EP8+ER8+EO8+(EU8*L8),0)</f>
        <v>639.86444444444442</v>
      </c>
      <c r="CC8" s="5">
        <f>IFERROR(CB8/L8,0)</f>
        <v>18.322558065542474</v>
      </c>
      <c r="CD8" s="5">
        <f>IFERROR((DX8+EG8+DU8)/L8,0)</f>
        <v>1.0594972955774737</v>
      </c>
      <c r="CE8" s="6">
        <f>SUM(EN:EN)</f>
        <v>233</v>
      </c>
      <c r="CF8" s="390">
        <f>IFERROR((EN8*1)/CE8,0)</f>
        <v>0.12446351931330472</v>
      </c>
      <c r="CG8" s="384">
        <f>ER8+EQ8+ES8+EP8</f>
        <v>155</v>
      </c>
      <c r="CH8" s="385">
        <f>IFERROR(CG8/L8,0)</f>
        <v>4.4384346166083359</v>
      </c>
      <c r="CI8" s="384">
        <f>EL8+EN8+(EO8*0.5)</f>
        <v>80.5</v>
      </c>
      <c r="CJ8" s="385">
        <f>IFERROR(CI8/L8,0)</f>
        <v>2.3051224944320712</v>
      </c>
      <c r="CK8" s="388">
        <f>EU8</f>
        <v>14.6</v>
      </c>
      <c r="CL8" s="61">
        <f>IFERROR((DS8*3)+(DV8*1.5)+(DW8*2)+EM8+EQ8+ES8+EP8+ER8+EA8+(BN8*0.5),0)</f>
        <v>221</v>
      </c>
      <c r="CM8" s="62">
        <f>IFERROR(CL8/L8,0)</f>
        <v>6.3283487114222075</v>
      </c>
      <c r="CN8" s="61">
        <f>IFERROR(EN8+EQ8+EO8+ES8+EP8+ER8+(BN8*0.5),0)</f>
        <v>185</v>
      </c>
      <c r="CO8" s="62">
        <f>IFERROR(CN8/L8,0)</f>
        <v>5.297486477887368</v>
      </c>
      <c r="CP8" s="320">
        <f>IFERROR((DS8*3)+(DV8*1.25)+(DW8*2)+EA8+AY8,0)</f>
        <v>130.5</v>
      </c>
      <c r="CQ8" s="321">
        <f>CP8/L8</f>
        <v>3.7368755965637925</v>
      </c>
      <c r="CR8" s="350">
        <f>IFERROR(CN8/CL8,0)</f>
        <v>0.83710407239819007</v>
      </c>
      <c r="CS8" s="191">
        <f>IFERROR(SUBSTITUTE(DZ8,".","," ),0)*1</f>
        <v>3.16</v>
      </c>
      <c r="CT8" s="191">
        <f>IFERROR(CS8/EG8,0)</f>
        <v>0.12640000000000001</v>
      </c>
      <c r="CU8" s="6">
        <f>IFERROR(EG8+DX8,0)</f>
        <v>31</v>
      </c>
      <c r="CV8" s="62">
        <f>IFERROR(CU8/L8,0)</f>
        <v>0.8876869233216671</v>
      </c>
      <c r="CW8" s="5">
        <f>IFERROR(VALUE(SUBSTITUTE(EY8, " km", "")),0)</f>
        <v>372.8</v>
      </c>
      <c r="CX8" s="5">
        <f>IFERROR(CW8/L8,0)</f>
        <v>10.675151129494113</v>
      </c>
      <c r="CY8" s="323">
        <f>IFERROR((((CW8*1000)/(DP8*60))*3600)/1000,0)</f>
        <v>7.1167674196627422</v>
      </c>
      <c r="CZ8" s="406">
        <f>CW8/(EN8+EL8+EQ8+EP8+(EO8*1.5))</f>
        <v>1.8972010178117049</v>
      </c>
      <c r="DA8" s="407">
        <f>(EC8+EN8)/CW8</f>
        <v>0.12607296137339055</v>
      </c>
      <c r="DB8" s="180">
        <f>IFERROR((EE8-EF8)+(EB8-EC8)+(EI8-EJ8),0)</f>
        <v>151</v>
      </c>
      <c r="DC8" s="117">
        <f>IFERROR(DB8/L8,0)</f>
        <v>4.3238943684377977</v>
      </c>
      <c r="DD8" s="117">
        <f>DY8</f>
        <v>6</v>
      </c>
      <c r="DE8" s="117">
        <f>IFERROR(VALUE(SUBSTITUTE(EZ8, ".", ",")),0)</f>
        <v>6.93</v>
      </c>
      <c r="DF8" s="298"/>
      <c r="DG8" s="294" t="s">
        <v>986</v>
      </c>
      <c r="DH8" s="294" t="s">
        <v>987</v>
      </c>
      <c r="DI8" s="294">
        <v>24</v>
      </c>
      <c r="DJ8" s="294" t="s">
        <v>985</v>
      </c>
      <c r="DK8" s="294" t="s">
        <v>540</v>
      </c>
      <c r="DL8" s="294" t="s">
        <v>601</v>
      </c>
      <c r="DM8" s="294" t="s">
        <v>408</v>
      </c>
      <c r="DN8" s="294" t="s">
        <v>988</v>
      </c>
      <c r="DO8" s="295">
        <v>48760</v>
      </c>
      <c r="DP8" s="294">
        <v>3143</v>
      </c>
      <c r="DQ8" s="294">
        <v>39</v>
      </c>
      <c r="DR8" s="294">
        <v>2</v>
      </c>
      <c r="DS8" s="294">
        <v>0</v>
      </c>
      <c r="DT8" s="294">
        <v>0</v>
      </c>
      <c r="DU8" s="294">
        <v>6</v>
      </c>
      <c r="DV8" s="294">
        <v>2</v>
      </c>
      <c r="DW8" s="294">
        <v>0</v>
      </c>
      <c r="DX8" s="294">
        <v>6</v>
      </c>
      <c r="DY8" s="294">
        <v>6</v>
      </c>
      <c r="DZ8" s="294" t="s">
        <v>1106</v>
      </c>
      <c r="EA8" s="294">
        <v>15</v>
      </c>
      <c r="EB8" s="294">
        <v>43</v>
      </c>
      <c r="EC8" s="294">
        <v>18</v>
      </c>
      <c r="ED8" s="294">
        <v>0</v>
      </c>
      <c r="EE8" s="294">
        <v>2058</v>
      </c>
      <c r="EF8" s="294">
        <v>1945</v>
      </c>
      <c r="EG8" s="294">
        <v>25</v>
      </c>
      <c r="EH8" s="294">
        <v>230</v>
      </c>
      <c r="EI8" s="294">
        <v>13</v>
      </c>
      <c r="EJ8" s="294">
        <v>0</v>
      </c>
      <c r="EK8" s="294">
        <v>194</v>
      </c>
      <c r="EL8" s="294">
        <v>51</v>
      </c>
      <c r="EM8" s="294">
        <v>48</v>
      </c>
      <c r="EN8" s="294">
        <v>29</v>
      </c>
      <c r="EO8" s="294">
        <v>1</v>
      </c>
      <c r="EP8" s="294">
        <v>18</v>
      </c>
      <c r="EQ8" s="294">
        <v>97</v>
      </c>
      <c r="ER8" s="294">
        <v>14</v>
      </c>
      <c r="ES8" s="294">
        <v>26</v>
      </c>
      <c r="ET8" s="294">
        <v>22</v>
      </c>
      <c r="EU8" s="294">
        <v>14.6</v>
      </c>
      <c r="EV8" s="294">
        <v>0</v>
      </c>
      <c r="EW8" s="294">
        <v>0</v>
      </c>
      <c r="EX8" s="294">
        <v>0</v>
      </c>
      <c r="EY8" s="294" t="s">
        <v>989</v>
      </c>
      <c r="EZ8" s="299">
        <v>6.93</v>
      </c>
    </row>
    <row r="9" spans="1:156" ht="24.95" customHeight="1" thickBot="1" x14ac:dyDescent="0.3">
      <c r="A9" s="29" t="str">
        <f t="shared" si="0"/>
        <v>8º</v>
      </c>
      <c r="B9" s="69" t="str">
        <f>DH9</f>
        <v>Pascal Groß</v>
      </c>
      <c r="C9" s="86" t="str">
        <f>DG9</f>
        <v>GER</v>
      </c>
      <c r="D9" s="99" t="str">
        <f>DL9</f>
        <v>Pé Direito</v>
      </c>
      <c r="E9" s="28" t="str">
        <f>DJ9</f>
        <v>Brighton</v>
      </c>
      <c r="F9" s="166">
        <f>IFERROR(SUBSTITUTE(DK9," cm","")/100,0)</f>
        <v>1.81</v>
      </c>
      <c r="G9" s="36">
        <f>DI9</f>
        <v>34</v>
      </c>
      <c r="H9" s="316" t="str">
        <f>DN9</f>
        <v>€581m p/m</v>
      </c>
      <c r="I9" s="35">
        <f>IF(DO9="-", "Sem Data Final", DO9)</f>
        <v>46568</v>
      </c>
      <c r="J9" s="199" t="str">
        <f>DM9</f>
        <v>Não está à venda</v>
      </c>
      <c r="K9" s="96">
        <f>AVERAGE(L:L)</f>
        <v>23.994444444444444</v>
      </c>
      <c r="L9" s="144">
        <f>DP9/90</f>
        <v>10.766666666666667</v>
      </c>
      <c r="M9" s="144">
        <f>IF(ISERROR(FIND("(",DQ9)), VALUE(DQ9), VALUE(LEFT(DQ9,FIND("(",DQ9)-2)) + VALUE(MID(DQ9,FIND("(",DQ9)+1,FIND(")",DQ9)-FIND("(",DQ9)-1)))</f>
        <v>11</v>
      </c>
      <c r="N9" s="144">
        <f>IFERROR(DP9/M9,0)</f>
        <v>88.090909090909093</v>
      </c>
      <c r="O9" s="184">
        <f>IFERROR(IF(ISERROR(FIND("(",DQ9)), "100%", TEXT(VALUE(LEFT(DQ9,FIND("(",DQ9)-2)) / (VALUE(LEFT(DQ9,FIND("(",DQ9)-2)) + VALUE(MID(DQ9,FIND("(",DQ9)+1,FIND(")",DQ9)-FIND("(",DQ9)-1))),"0%")),0)*1</f>
        <v>1</v>
      </c>
      <c r="P9" s="2">
        <f>DT9</f>
        <v>1</v>
      </c>
      <c r="Q9" s="2">
        <f>DU9</f>
        <v>2</v>
      </c>
      <c r="R9" s="2">
        <f>IFERROR(P9+Q9,0)</f>
        <v>3</v>
      </c>
      <c r="S9" s="6">
        <f>DR9</f>
        <v>1</v>
      </c>
      <c r="T9" s="21">
        <f>IFERROR((S9*1)/L9,0)</f>
        <v>9.2879256965944262E-2</v>
      </c>
      <c r="U9" s="56">
        <f>EW9</f>
        <v>0</v>
      </c>
      <c r="V9" s="56">
        <f>EX9</f>
        <v>0</v>
      </c>
      <c r="W9" s="56">
        <f>IFERROR(U9-V9,0)</f>
        <v>0</v>
      </c>
      <c r="X9" s="60">
        <f>IFERROR((V9*1)/U9,0.0000001)</f>
        <v>9.9999999999999995E-8</v>
      </c>
      <c r="Y9" s="338">
        <f>EA9</f>
        <v>5</v>
      </c>
      <c r="Z9" s="315">
        <f>IFERROR(Y9/L9,0)</f>
        <v>0.46439628482972134</v>
      </c>
      <c r="AA9" s="2">
        <f>DV9</f>
        <v>0</v>
      </c>
      <c r="AB9" s="2">
        <f>DW9</f>
        <v>0</v>
      </c>
      <c r="AC9" s="2">
        <f>IFERROR(DV9+DW9,0)</f>
        <v>0</v>
      </c>
      <c r="AD9" s="5">
        <f>AC9/L9</f>
        <v>0</v>
      </c>
      <c r="AE9" s="402">
        <f>IFERROR(EA9/(DV9),50)</f>
        <v>50</v>
      </c>
      <c r="AF9" s="402">
        <f>IFERROR(EA9/(DV9+DW9),50)</f>
        <v>50</v>
      </c>
      <c r="AG9" s="2">
        <f>Y9-(AA9+AB9)</f>
        <v>5</v>
      </c>
      <c r="AH9" s="21">
        <f>IFERROR((AC9*1)/Y9,0)</f>
        <v>0</v>
      </c>
      <c r="AI9" s="208">
        <f>EK9</f>
        <v>72</v>
      </c>
      <c r="AJ9" s="196">
        <f>IFERROR(AI9/L9,0)</f>
        <v>6.6873065015479867</v>
      </c>
      <c r="AK9" s="208">
        <f>EL9</f>
        <v>18</v>
      </c>
      <c r="AL9" s="196">
        <f>IFERROR(AK9/L9,0)</f>
        <v>1.6718266253869967</v>
      </c>
      <c r="AM9" s="21">
        <f>IFERROR(AK9/AI9,0)</f>
        <v>0.25</v>
      </c>
      <c r="AN9" s="6">
        <f>IFERROR(EB9+EM9+EA9,0)</f>
        <v>34</v>
      </c>
      <c r="AO9" s="5">
        <f>IFERROR(AN9/L9,0)</f>
        <v>3.1578947368421049</v>
      </c>
      <c r="AP9" s="6">
        <f>IFERROR(EC9+EN9+EO9,0)</f>
        <v>14</v>
      </c>
      <c r="AQ9" s="5">
        <f>IFERROR(AP9/L9,0)</f>
        <v>1.3003095975232197</v>
      </c>
      <c r="AR9" s="21">
        <f>IFERROR((AP9*1)/AN9,0)</f>
        <v>0.41176470588235292</v>
      </c>
      <c r="AS9" s="2">
        <f>IFERROR(EA9-DV9-DW9,0)</f>
        <v>5</v>
      </c>
      <c r="AT9" s="21">
        <f>IFERROR((AS9*1)/EA9,0)</f>
        <v>1</v>
      </c>
      <c r="AU9" s="6">
        <f>EE9</f>
        <v>701</v>
      </c>
      <c r="AV9" s="6">
        <f>EF9</f>
        <v>629</v>
      </c>
      <c r="AW9" s="5">
        <f>IFERROR((AV9/L9),0)</f>
        <v>58.421052631578945</v>
      </c>
      <c r="AX9" s="5">
        <f>IFERROR((AV9-AY9)/(DP9/90),0)</f>
        <v>51.733746130030958</v>
      </c>
      <c r="AY9" s="6">
        <f>AU9-AV9</f>
        <v>72</v>
      </c>
      <c r="AZ9" s="5">
        <f>IFERROR(AY9/L9,0)</f>
        <v>6.6873065015479867</v>
      </c>
      <c r="BA9" s="20">
        <f>IFERROR((EF9*1)/EE9,0)</f>
        <v>0.89728958630527822</v>
      </c>
      <c r="BB9" s="317">
        <f>(EE9-EH9)</f>
        <v>622</v>
      </c>
      <c r="BC9" s="5">
        <f>IFERROR(BB9/L9,0)</f>
        <v>57.770897832817333</v>
      </c>
      <c r="BD9" s="6">
        <f>EH9</f>
        <v>79</v>
      </c>
      <c r="BE9" s="5">
        <f>IFERROR(BD9/L9,0)</f>
        <v>7.337461300309597</v>
      </c>
      <c r="BF9" s="21">
        <f>IFERROR((BD9*1)/BB9,0)</f>
        <v>0.12700964630225081</v>
      </c>
      <c r="BG9" s="6">
        <f>EB9</f>
        <v>11</v>
      </c>
      <c r="BH9" s="5">
        <f>IFERROR(BG9/L9,0)</f>
        <v>1.021671826625387</v>
      </c>
      <c r="BI9" s="6">
        <f>EC9</f>
        <v>1</v>
      </c>
      <c r="BJ9" s="5">
        <f>IFERROR(BI9/L9,0)</f>
        <v>9.2879256965944262E-2</v>
      </c>
      <c r="BK9" s="21">
        <f>IFERROR(EC9/EB9,0)</f>
        <v>9.0909090909090912E-2</v>
      </c>
      <c r="BL9" s="6">
        <f>EB9-EC9</f>
        <v>10</v>
      </c>
      <c r="BM9" s="5">
        <f>IFERROR(BL9/L9,0)</f>
        <v>0.92879256965944268</v>
      </c>
      <c r="BN9" s="6">
        <f>IFERROR((BO9*L9),0)</f>
        <v>0</v>
      </c>
      <c r="BO9" s="5">
        <f>ED9</f>
        <v>0</v>
      </c>
      <c r="BP9" s="21">
        <f>IFERROR((BI9*1)/BG9,0)</f>
        <v>9.0909090909090912E-2</v>
      </c>
      <c r="BQ9" s="6">
        <f>EM9+EA9</f>
        <v>23</v>
      </c>
      <c r="BR9" s="5">
        <f>IFERROR(BQ9/L9,0)</f>
        <v>2.1362229102167181</v>
      </c>
      <c r="BS9" s="6">
        <f>EN9</f>
        <v>12</v>
      </c>
      <c r="BT9" s="5">
        <f>IFERROR(BS9/L9,0)</f>
        <v>1.1145510835913313</v>
      </c>
      <c r="BU9" s="6">
        <f>EM9-EN9</f>
        <v>6</v>
      </c>
      <c r="BV9" s="5">
        <f>IFERROR(BU9/L9,0)</f>
        <v>0.55727554179566563</v>
      </c>
      <c r="BW9" s="21">
        <f>IFERROR((BS9*1)/BQ9,0)</f>
        <v>0.52173913043478259</v>
      </c>
      <c r="BX9" s="6">
        <f>EO9</f>
        <v>1</v>
      </c>
      <c r="BY9" s="5">
        <f>IFERROR(BX9/L9,0)</f>
        <v>9.2879256965944262E-2</v>
      </c>
      <c r="BZ9" s="2">
        <f>EG9</f>
        <v>20</v>
      </c>
      <c r="CA9" s="5">
        <f>IFERROR(BZ9/L9,0)</f>
        <v>1.8575851393188854</v>
      </c>
      <c r="CB9" s="6">
        <f>IFERROR(EQ9+EP9+ER9+EO9+(EU9*L9),0)</f>
        <v>190.5</v>
      </c>
      <c r="CC9" s="5">
        <f>IFERROR(CB9/L9,0)</f>
        <v>17.693498452012381</v>
      </c>
      <c r="CD9" s="5">
        <f>IFERROR((DX9+EG9+DU9)/L9,0)</f>
        <v>2.2291021671826625</v>
      </c>
      <c r="CE9" s="6">
        <f>SUM(EN:EN)</f>
        <v>233</v>
      </c>
      <c r="CF9" s="390">
        <f>IFERROR((EN9*1)/CE9,0)</f>
        <v>5.1502145922746781E-2</v>
      </c>
      <c r="CG9" s="384">
        <f>ER9+EQ9+ES9+EP9</f>
        <v>36</v>
      </c>
      <c r="CH9" s="385">
        <f>IFERROR(CG9/L9,0)</f>
        <v>3.3436532507739933</v>
      </c>
      <c r="CI9" s="384">
        <f>EL9+EN9+(EO9*0.5)</f>
        <v>30.5</v>
      </c>
      <c r="CJ9" s="385">
        <f>IFERROR(CI9/L9,0)</f>
        <v>2.8328173374613002</v>
      </c>
      <c r="CK9" s="388">
        <f>EU9</f>
        <v>15</v>
      </c>
      <c r="CL9" s="61">
        <f>IFERROR((DS9*3)+(DV9*1.5)+(DW9*2)+EM9+EQ9+ES9+EP9+ER9+EA9+(BN9*0.5),0)</f>
        <v>59</v>
      </c>
      <c r="CM9" s="62">
        <f>IFERROR(CL9/L9,0)</f>
        <v>5.4798761609907114</v>
      </c>
      <c r="CN9" s="61">
        <f>IFERROR(EN9+EQ9+EO9+ES9+EP9+ER9+(BN9*0.5),0)</f>
        <v>49</v>
      </c>
      <c r="CO9" s="62">
        <f>IFERROR(CN9/L9,0)</f>
        <v>4.5510835913312686</v>
      </c>
      <c r="CP9" s="320">
        <f>IFERROR((DS9*3)+(DV9*1.25)+(DW9*2)+EA9+AY9,0)</f>
        <v>77</v>
      </c>
      <c r="CQ9" s="321">
        <f>CP9/L9</f>
        <v>7.1517027863777081</v>
      </c>
      <c r="CR9" s="350">
        <f>IFERROR(CN9/CL9,0)</f>
        <v>0.83050847457627119</v>
      </c>
      <c r="CS9" s="191">
        <f>IFERROR(SUBSTITUTE(DZ9,".","," ),0)*1</f>
        <v>1.1000000000000001</v>
      </c>
      <c r="CT9" s="191">
        <f>IFERROR(CS9/EG9,0)</f>
        <v>5.5000000000000007E-2</v>
      </c>
      <c r="CU9" s="6">
        <f>IFERROR(EG9+DX9,0)</f>
        <v>22</v>
      </c>
      <c r="CV9" s="62">
        <f>IFERROR(CU9/L9,0)</f>
        <v>2.0433436532507741</v>
      </c>
      <c r="CW9" s="5">
        <f>IFERROR(VALUE(SUBSTITUTE(EY9, " km", "")),0)</f>
        <v>128.80000000000001</v>
      </c>
      <c r="CX9" s="5">
        <f>IFERROR(CW9/L9,0)</f>
        <v>11.962848297213622</v>
      </c>
      <c r="CY9" s="323">
        <f>IFERROR((((CW9*1000)/(DP9*60))*3600)/1000,0)</f>
        <v>7.9752321981424155</v>
      </c>
      <c r="CZ9" s="406">
        <f>CW9/(EN9+EL9+EQ9+EP9+(EO9*1.5))</f>
        <v>2.2017094017094019</v>
      </c>
      <c r="DA9" s="407">
        <f>(EC9+EN9)/CW9</f>
        <v>0.10093167701863354</v>
      </c>
      <c r="DB9" s="180">
        <f>IFERROR((EE9-EF9)+(EB9-EC9)+(EI9-EJ9),0)</f>
        <v>86</v>
      </c>
      <c r="DC9" s="117">
        <f>IFERROR(DB9/L9,0)</f>
        <v>7.9876160990712064</v>
      </c>
      <c r="DD9" s="117">
        <f>DY9</f>
        <v>4.5999999999999996</v>
      </c>
      <c r="DE9" s="117">
        <f>IFERROR(VALUE(SUBSTITUTE(EZ9, ".", ",")),0)</f>
        <v>7.02</v>
      </c>
      <c r="DF9" s="296" t="s">
        <v>1002</v>
      </c>
      <c r="DG9" s="292" t="s">
        <v>644</v>
      </c>
      <c r="DH9" s="292" t="s">
        <v>1034</v>
      </c>
      <c r="DI9" s="292">
        <v>34</v>
      </c>
      <c r="DJ9" s="292" t="s">
        <v>1035</v>
      </c>
      <c r="DK9" s="292" t="s">
        <v>575</v>
      </c>
      <c r="DL9" s="292" t="s">
        <v>601</v>
      </c>
      <c r="DM9" s="292" t="s">
        <v>408</v>
      </c>
      <c r="DN9" s="292" t="s">
        <v>1001</v>
      </c>
      <c r="DO9" s="293">
        <v>46568</v>
      </c>
      <c r="DP9" s="292">
        <v>969</v>
      </c>
      <c r="DQ9" s="292">
        <v>11</v>
      </c>
      <c r="DR9" s="292">
        <v>1</v>
      </c>
      <c r="DS9" s="292">
        <v>0</v>
      </c>
      <c r="DT9" s="292">
        <v>1</v>
      </c>
      <c r="DU9" s="292">
        <v>2</v>
      </c>
      <c r="DV9" s="292">
        <v>0</v>
      </c>
      <c r="DW9" s="292">
        <v>0</v>
      </c>
      <c r="DX9" s="292">
        <v>2</v>
      </c>
      <c r="DY9" s="292">
        <v>4.5999999999999996</v>
      </c>
      <c r="DZ9" s="292" t="s">
        <v>1109</v>
      </c>
      <c r="EA9" s="292">
        <v>5</v>
      </c>
      <c r="EB9" s="292">
        <v>11</v>
      </c>
      <c r="EC9" s="292">
        <v>1</v>
      </c>
      <c r="ED9" s="292">
        <v>0</v>
      </c>
      <c r="EE9" s="292">
        <v>701</v>
      </c>
      <c r="EF9" s="292">
        <v>629</v>
      </c>
      <c r="EG9" s="292">
        <v>20</v>
      </c>
      <c r="EH9" s="292">
        <v>79</v>
      </c>
      <c r="EI9" s="292">
        <v>5</v>
      </c>
      <c r="EJ9" s="292">
        <v>1</v>
      </c>
      <c r="EK9" s="292">
        <v>72</v>
      </c>
      <c r="EL9" s="292">
        <v>18</v>
      </c>
      <c r="EM9" s="292">
        <v>18</v>
      </c>
      <c r="EN9" s="292">
        <v>12</v>
      </c>
      <c r="EO9" s="292">
        <v>1</v>
      </c>
      <c r="EP9" s="292">
        <v>2</v>
      </c>
      <c r="EQ9" s="292">
        <v>25</v>
      </c>
      <c r="ER9" s="292">
        <v>1</v>
      </c>
      <c r="ES9" s="292">
        <v>8</v>
      </c>
      <c r="ET9" s="292">
        <v>9</v>
      </c>
      <c r="EU9" s="292">
        <v>15</v>
      </c>
      <c r="EV9" s="292">
        <v>0</v>
      </c>
      <c r="EW9" s="292">
        <v>0</v>
      </c>
      <c r="EX9" s="292">
        <v>0</v>
      </c>
      <c r="EY9" s="292" t="s">
        <v>1036</v>
      </c>
      <c r="EZ9" s="297">
        <v>7.02</v>
      </c>
    </row>
    <row r="10" spans="1:156" ht="24.95" customHeight="1" thickBot="1" x14ac:dyDescent="0.3">
      <c r="A10" s="29" t="str">
        <f t="shared" si="0"/>
        <v>9º</v>
      </c>
      <c r="B10" s="69" t="str">
        <f>DH10</f>
        <v>Rodri</v>
      </c>
      <c r="C10" s="86" t="str">
        <f>DG10</f>
        <v>ESP</v>
      </c>
      <c r="D10" s="99" t="str">
        <f>DL10</f>
        <v>Pé Direito</v>
      </c>
      <c r="E10" s="28" t="str">
        <f>DJ10</f>
        <v>Manchester City</v>
      </c>
      <c r="F10" s="166">
        <f>IFERROR(SUBSTITUTE(DK10," cm","")/100,0)</f>
        <v>1.91</v>
      </c>
      <c r="G10" s="36">
        <f>DI10</f>
        <v>29</v>
      </c>
      <c r="H10" s="316" t="str">
        <f>DN10</f>
        <v>€1,38M p/m</v>
      </c>
      <c r="I10" s="35">
        <f>IF(DO10="-", "Sem Data Final", DO10)</f>
        <v>46568</v>
      </c>
      <c r="J10" s="199" t="str">
        <f>DM10</f>
        <v>€88M - €134M</v>
      </c>
      <c r="K10" s="96">
        <f>AVERAGE(L:L)</f>
        <v>23.994444444444444</v>
      </c>
      <c r="L10" s="144">
        <f>DP10/90</f>
        <v>10.166666666666666</v>
      </c>
      <c r="M10" s="144">
        <f>IF(ISERROR(FIND("(",DQ10)), VALUE(DQ10), VALUE(LEFT(DQ10,FIND("(",DQ10)-2)) + VALUE(MID(DQ10,FIND("(",DQ10)+1,FIND(")",DQ10)-FIND("(",DQ10)-1)))</f>
        <v>13</v>
      </c>
      <c r="N10" s="144">
        <f>IFERROR(DP10/M10,0)</f>
        <v>70.384615384615387</v>
      </c>
      <c r="O10" s="184">
        <f>IFERROR(IF(ISERROR(FIND("(",DQ10)), "100%", TEXT(VALUE(LEFT(DQ10,FIND("(",DQ10)-2)) / (VALUE(LEFT(DQ10,FIND("(",DQ10)-2)) + VALUE(MID(DQ10,FIND("(",DQ10)+1,FIND(")",DQ10)-FIND("(",DQ10)-1))),"0%")),0)*1</f>
        <v>0.92</v>
      </c>
      <c r="P10" s="2">
        <f>DT10</f>
        <v>0</v>
      </c>
      <c r="Q10" s="2">
        <f>DU10</f>
        <v>4</v>
      </c>
      <c r="R10" s="2">
        <f>IFERROR(P10+Q10,0)</f>
        <v>4</v>
      </c>
      <c r="S10" s="6">
        <f>DR10</f>
        <v>1</v>
      </c>
      <c r="T10" s="21">
        <f>IFERROR((S10*1)/L10,0)</f>
        <v>9.836065573770493E-2</v>
      </c>
      <c r="U10" s="56">
        <f>EW10</f>
        <v>0</v>
      </c>
      <c r="V10" s="56">
        <f>EX10</f>
        <v>0</v>
      </c>
      <c r="W10" s="56">
        <f>IFERROR(U10-V10,0)</f>
        <v>0</v>
      </c>
      <c r="X10" s="60">
        <f>IFERROR((V10*1)/U10,0.0000001)</f>
        <v>9.9999999999999995E-8</v>
      </c>
      <c r="Y10" s="338">
        <f>EA10</f>
        <v>6</v>
      </c>
      <c r="Z10" s="315">
        <f>IFERROR(Y10/L10,0)</f>
        <v>0.5901639344262295</v>
      </c>
      <c r="AA10" s="2">
        <f>DV10</f>
        <v>1</v>
      </c>
      <c r="AB10" s="2">
        <f>DW10</f>
        <v>0</v>
      </c>
      <c r="AC10" s="2">
        <f>IFERROR(DV10+DW10,0)</f>
        <v>1</v>
      </c>
      <c r="AD10" s="5">
        <f>AC10/L10</f>
        <v>9.836065573770493E-2</v>
      </c>
      <c r="AE10" s="402">
        <f>IFERROR(EA10/(DV10),50)</f>
        <v>6</v>
      </c>
      <c r="AF10" s="402">
        <f>IFERROR(EA10/(DV10+DW10),50)</f>
        <v>6</v>
      </c>
      <c r="AG10" s="2">
        <f>Y10-(AA10+AB10)</f>
        <v>5</v>
      </c>
      <c r="AH10" s="21">
        <f>IFERROR((AC10*1)/Y10,0)</f>
        <v>0.16666666666666666</v>
      </c>
      <c r="AI10" s="208">
        <f>EK10</f>
        <v>57</v>
      </c>
      <c r="AJ10" s="196">
        <f>IFERROR(AI10/L10,0)</f>
        <v>5.6065573770491808</v>
      </c>
      <c r="AK10" s="208">
        <f>EL10</f>
        <v>14</v>
      </c>
      <c r="AL10" s="196">
        <f>IFERROR(AK10/L10,0)</f>
        <v>1.3770491803278688</v>
      </c>
      <c r="AM10" s="21">
        <f>IFERROR(AK10/AI10,0)</f>
        <v>0.24561403508771928</v>
      </c>
      <c r="AN10" s="6">
        <f>IFERROR(EB10+EM10+EA10,0)</f>
        <v>53</v>
      </c>
      <c r="AO10" s="5">
        <f>IFERROR(AN10/L10,0)</f>
        <v>5.2131147540983607</v>
      </c>
      <c r="AP10" s="6">
        <f>IFERROR(EC10+EN10+EO10,0)</f>
        <v>35</v>
      </c>
      <c r="AQ10" s="5">
        <f>IFERROR(AP10/L10,0)</f>
        <v>3.4426229508196724</v>
      </c>
      <c r="AR10" s="21">
        <f>IFERROR((AP10*1)/AN10,0)</f>
        <v>0.660377358490566</v>
      </c>
      <c r="AS10" s="2">
        <f>IFERROR(EA10-DV10-DW10,0)</f>
        <v>5</v>
      </c>
      <c r="AT10" s="21">
        <f>IFERROR((AS10*1)/EA10,0)</f>
        <v>0.83333333333333337</v>
      </c>
      <c r="AU10" s="6">
        <f>EE10</f>
        <v>669</v>
      </c>
      <c r="AV10" s="6">
        <f>EF10</f>
        <v>607</v>
      </c>
      <c r="AW10" s="5">
        <f>IFERROR((AV10/L10),0)</f>
        <v>59.704918032786885</v>
      </c>
      <c r="AX10" s="5">
        <f>IFERROR((AV10-AY10)/(DP10/90),0)</f>
        <v>53.606557377049185</v>
      </c>
      <c r="AY10" s="6">
        <f>AU10-AV10</f>
        <v>62</v>
      </c>
      <c r="AZ10" s="5">
        <f>IFERROR(AY10/L10,0)</f>
        <v>6.0983606557377055</v>
      </c>
      <c r="BA10" s="20">
        <f>IFERROR((EF10*1)/EE10,0)</f>
        <v>0.90732436472346789</v>
      </c>
      <c r="BB10" s="317">
        <f>(EE10-EH10)</f>
        <v>596</v>
      </c>
      <c r="BC10" s="5">
        <f>IFERROR(BB10/L10,0)</f>
        <v>58.622950819672134</v>
      </c>
      <c r="BD10" s="6">
        <f>EH10</f>
        <v>73</v>
      </c>
      <c r="BE10" s="5">
        <f>IFERROR(BD10/L10,0)</f>
        <v>7.1803278688524594</v>
      </c>
      <c r="BF10" s="21">
        <f>IFERROR((BD10*1)/BB10,0)</f>
        <v>0.12248322147651007</v>
      </c>
      <c r="BG10" s="6">
        <f>EB10</f>
        <v>33</v>
      </c>
      <c r="BH10" s="5">
        <f>IFERROR(BG10/L10,0)</f>
        <v>3.2459016393442623</v>
      </c>
      <c r="BI10" s="6">
        <f>EC10</f>
        <v>26</v>
      </c>
      <c r="BJ10" s="5">
        <f>IFERROR(BI10/L10,0)</f>
        <v>2.557377049180328</v>
      </c>
      <c r="BK10" s="21">
        <f>IFERROR(EC10/EB10,0)</f>
        <v>0.78787878787878785</v>
      </c>
      <c r="BL10" s="6">
        <f>EB10-EC10</f>
        <v>7</v>
      </c>
      <c r="BM10" s="5">
        <f>IFERROR(BL10/L10,0)</f>
        <v>0.68852459016393441</v>
      </c>
      <c r="BN10" s="6">
        <f>IFERROR((BO10*L10),0)</f>
        <v>7.1166666666666654</v>
      </c>
      <c r="BO10" s="5">
        <f>ED10</f>
        <v>0.7</v>
      </c>
      <c r="BP10" s="21">
        <f>IFERROR((BI10*1)/BG10,0)</f>
        <v>0.78787878787878785</v>
      </c>
      <c r="BQ10" s="6">
        <f>EM10+EA10</f>
        <v>20</v>
      </c>
      <c r="BR10" s="5">
        <f>IFERROR(BQ10/L10,0)</f>
        <v>1.9672131147540985</v>
      </c>
      <c r="BS10" s="6">
        <f>EN10</f>
        <v>9</v>
      </c>
      <c r="BT10" s="5">
        <f>IFERROR(BS10/L10,0)</f>
        <v>0.88524590163934436</v>
      </c>
      <c r="BU10" s="6">
        <f>EM10-EN10</f>
        <v>5</v>
      </c>
      <c r="BV10" s="5">
        <f>IFERROR(BU10/L10,0)</f>
        <v>0.49180327868852464</v>
      </c>
      <c r="BW10" s="21">
        <f>IFERROR((BS10*1)/BQ10,0)</f>
        <v>0.45</v>
      </c>
      <c r="BX10" s="6">
        <f>EO10</f>
        <v>0</v>
      </c>
      <c r="BY10" s="5">
        <f>IFERROR(BX10/L10,0)</f>
        <v>0</v>
      </c>
      <c r="BZ10" s="2">
        <f>EG10</f>
        <v>8</v>
      </c>
      <c r="CA10" s="5">
        <f>IFERROR(BZ10/L10,0)</f>
        <v>0.78688524590163944</v>
      </c>
      <c r="CB10" s="6">
        <f>IFERROR(EQ10+EP10+ER10+EO10+(EU10*L10),0)</f>
        <v>238.26666666666668</v>
      </c>
      <c r="CC10" s="5">
        <f>IFERROR(CB10/L10,0)</f>
        <v>23.436065573770495</v>
      </c>
      <c r="CD10" s="5">
        <f>IFERROR((DX10+EG10+DU10)/L10,0)</f>
        <v>1.4754098360655739</v>
      </c>
      <c r="CE10" s="6">
        <f>SUM(EN:EN)</f>
        <v>233</v>
      </c>
      <c r="CF10" s="390">
        <f>IFERROR((EN10*1)/CE10,0)</f>
        <v>3.8626609442060089E-2</v>
      </c>
      <c r="CG10" s="384">
        <f>ER10+EQ10+ES10+EP10</f>
        <v>46</v>
      </c>
      <c r="CH10" s="385">
        <f>IFERROR(CG10/L10,0)</f>
        <v>4.5245901639344268</v>
      </c>
      <c r="CI10" s="384">
        <f>EL10+EN10+(EO10*0.5)</f>
        <v>23</v>
      </c>
      <c r="CJ10" s="385">
        <f>IFERROR(CI10/L10,0)</f>
        <v>2.2622950819672134</v>
      </c>
      <c r="CK10" s="388">
        <f>EU10</f>
        <v>19.600000000000001</v>
      </c>
      <c r="CL10" s="61">
        <f>IFERROR((DS10*3)+(DV10*1.5)+(DW10*2)+EM10+EQ10+ES10+EP10+ER10+EA10+(BN10*0.5),0)</f>
        <v>71.058333333333337</v>
      </c>
      <c r="CM10" s="62">
        <f>IFERROR(CL10/L10,0)</f>
        <v>6.9893442622950825</v>
      </c>
      <c r="CN10" s="61">
        <f>IFERROR(EN10+EQ10+EO10+ES10+EP10+ER10+(BN10*0.5),0)</f>
        <v>58.55833333333333</v>
      </c>
      <c r="CO10" s="62">
        <f>IFERROR(CN10/L10,0)</f>
        <v>5.7598360655737704</v>
      </c>
      <c r="CP10" s="320">
        <f>IFERROR((DS10*3)+(DV10*1.25)+(DW10*2)+EA10+AY10,0)</f>
        <v>69.25</v>
      </c>
      <c r="CQ10" s="321">
        <f>CP10/L10</f>
        <v>6.8114754098360661</v>
      </c>
      <c r="CR10" s="350">
        <f>IFERROR(CN10/CL10,0)</f>
        <v>0.8240881904538524</v>
      </c>
      <c r="CS10" s="191">
        <f>IFERROR(SUBSTITUTE(DZ10,".","," ),0)*1</f>
        <v>1.55</v>
      </c>
      <c r="CT10" s="191">
        <f>IFERROR(CS10/EG10,0)</f>
        <v>0.19375000000000001</v>
      </c>
      <c r="CU10" s="6">
        <f>IFERROR(EG10+DX10,0)</f>
        <v>11</v>
      </c>
      <c r="CV10" s="62">
        <f>IFERROR(CU10/L10,0)</f>
        <v>1.0819672131147542</v>
      </c>
      <c r="CW10" s="5">
        <f>IFERROR(VALUE(SUBSTITUTE(EY10, " km", "")),0)</f>
        <v>119.9</v>
      </c>
      <c r="CX10" s="5">
        <f>IFERROR(CW10/L10,0)</f>
        <v>11.79344262295082</v>
      </c>
      <c r="CY10" s="323">
        <f>IFERROR((((CW10*1000)/(DP10*60))*3600)/1000,0)</f>
        <v>7.8622950819672122</v>
      </c>
      <c r="CZ10" s="406">
        <f>CW10/(EN10+EL10+EQ10+EP10+(EO10*1.5))</f>
        <v>2.0322033898305087</v>
      </c>
      <c r="DA10" s="407">
        <f>(EC10+EN10)/CW10</f>
        <v>0.29190992493744788</v>
      </c>
      <c r="DB10" s="180">
        <f>IFERROR((EE10-EF10)+(EB10-EC10)+(EI10-EJ10),0)</f>
        <v>73</v>
      </c>
      <c r="DC10" s="117">
        <f>IFERROR(DB10/L10,0)</f>
        <v>7.1803278688524594</v>
      </c>
      <c r="DD10" s="117">
        <f>DY10</f>
        <v>2.1</v>
      </c>
      <c r="DE10" s="117">
        <f>IFERROR(VALUE(SUBSTITUTE(EZ10, ".", ",")),0)</f>
        <v>7.13</v>
      </c>
      <c r="DF10" s="296" t="s">
        <v>1002</v>
      </c>
      <c r="DG10" s="292" t="s">
        <v>646</v>
      </c>
      <c r="DH10" s="292" t="s">
        <v>1037</v>
      </c>
      <c r="DI10" s="292">
        <v>29</v>
      </c>
      <c r="DJ10" s="292" t="s">
        <v>1038</v>
      </c>
      <c r="DK10" s="292" t="s">
        <v>780</v>
      </c>
      <c r="DL10" s="292" t="s">
        <v>601</v>
      </c>
      <c r="DM10" s="292" t="s">
        <v>1039</v>
      </c>
      <c r="DN10" s="292" t="s">
        <v>1040</v>
      </c>
      <c r="DO10" s="293">
        <v>46568</v>
      </c>
      <c r="DP10" s="292">
        <v>915</v>
      </c>
      <c r="DQ10" s="292" t="s">
        <v>1041</v>
      </c>
      <c r="DR10" s="292">
        <v>1</v>
      </c>
      <c r="DS10" s="292">
        <v>0</v>
      </c>
      <c r="DT10" s="292">
        <v>0</v>
      </c>
      <c r="DU10" s="292">
        <v>4</v>
      </c>
      <c r="DV10" s="292">
        <v>1</v>
      </c>
      <c r="DW10" s="292">
        <v>0</v>
      </c>
      <c r="DX10" s="292">
        <v>3</v>
      </c>
      <c r="DY10" s="292">
        <v>2.1</v>
      </c>
      <c r="DZ10" s="292" t="s">
        <v>1108</v>
      </c>
      <c r="EA10" s="292">
        <v>6</v>
      </c>
      <c r="EB10" s="292">
        <v>33</v>
      </c>
      <c r="EC10" s="292">
        <v>26</v>
      </c>
      <c r="ED10" s="292">
        <v>0.7</v>
      </c>
      <c r="EE10" s="292">
        <v>669</v>
      </c>
      <c r="EF10" s="292">
        <v>607</v>
      </c>
      <c r="EG10" s="292">
        <v>8</v>
      </c>
      <c r="EH10" s="292">
        <v>73</v>
      </c>
      <c r="EI10" s="292">
        <v>6</v>
      </c>
      <c r="EJ10" s="292">
        <v>2</v>
      </c>
      <c r="EK10" s="292">
        <v>57</v>
      </c>
      <c r="EL10" s="292">
        <v>14</v>
      </c>
      <c r="EM10" s="292">
        <v>14</v>
      </c>
      <c r="EN10" s="292">
        <v>9</v>
      </c>
      <c r="EO10" s="292">
        <v>0</v>
      </c>
      <c r="EP10" s="292">
        <v>7</v>
      </c>
      <c r="EQ10" s="292">
        <v>29</v>
      </c>
      <c r="ER10" s="292">
        <v>3</v>
      </c>
      <c r="ES10" s="292">
        <v>7</v>
      </c>
      <c r="ET10" s="292">
        <v>4</v>
      </c>
      <c r="EU10" s="292">
        <v>19.600000000000001</v>
      </c>
      <c r="EV10" s="292">
        <v>0</v>
      </c>
      <c r="EW10" s="292">
        <v>0</v>
      </c>
      <c r="EX10" s="292">
        <v>0</v>
      </c>
      <c r="EY10" s="292" t="s">
        <v>1042</v>
      </c>
      <c r="EZ10" s="297">
        <v>7.13</v>
      </c>
    </row>
    <row r="11" spans="1:156" ht="24.95" customHeight="1" thickBot="1" x14ac:dyDescent="0.3">
      <c r="A11" s="29" t="str">
        <f t="shared" si="0"/>
        <v>10º</v>
      </c>
      <c r="B11" s="69" t="str">
        <f>DH11</f>
        <v>Youri Tielemans</v>
      </c>
      <c r="C11" s="86" t="str">
        <f>DG11</f>
        <v>BEL</v>
      </c>
      <c r="D11" s="99" t="str">
        <f>DL11</f>
        <v>Pé Direito</v>
      </c>
      <c r="E11" s="28" t="str">
        <f>DJ11</f>
        <v>Aston Villa</v>
      </c>
      <c r="F11" s="166">
        <f>IFERROR(SUBSTITUTE(DK11," cm","")/100,0)</f>
        <v>1.76</v>
      </c>
      <c r="G11" s="36">
        <f>DI11</f>
        <v>28</v>
      </c>
      <c r="H11" s="316" t="str">
        <f>DN11</f>
        <v>€814m p/m</v>
      </c>
      <c r="I11" s="35">
        <f>IF(DO11="-", "Sem Data Final", DO11)</f>
        <v>47299</v>
      </c>
      <c r="J11" s="199" t="str">
        <f>DM11</f>
        <v>€50M - €76M</v>
      </c>
      <c r="K11" s="96">
        <f>AVERAGE(L:L)</f>
        <v>23.994444444444444</v>
      </c>
      <c r="L11" s="144">
        <f>DP11/90</f>
        <v>12.71111111111111</v>
      </c>
      <c r="M11" s="144">
        <f>IF(ISERROR(FIND("(",DQ11)), VALUE(DQ11), VALUE(LEFT(DQ11,FIND("(",DQ11)-2)) + VALUE(MID(DQ11,FIND("(",DQ11)+1,FIND(")",DQ11)-FIND("(",DQ11)-1)))</f>
        <v>20</v>
      </c>
      <c r="N11" s="144">
        <f>IFERROR(DP11/M11,0)</f>
        <v>57.2</v>
      </c>
      <c r="O11" s="184">
        <f>IFERROR(IF(ISERROR(FIND("(",DQ11)), "100%", TEXT(VALUE(LEFT(DQ11,FIND("(",DQ11)-2)) / (VALUE(LEFT(DQ11,FIND("(",DQ11)-2)) + VALUE(MID(DQ11,FIND("(",DQ11)+1,FIND(")",DQ11)-FIND("(",DQ11)-1))),"0%")),0)*1</f>
        <v>0.75</v>
      </c>
      <c r="P11" s="2">
        <f>DT11</f>
        <v>1</v>
      </c>
      <c r="Q11" s="2">
        <f>DU11</f>
        <v>9</v>
      </c>
      <c r="R11" s="2">
        <f>IFERROR(P11+Q11,0)</f>
        <v>10</v>
      </c>
      <c r="S11" s="6">
        <f>DR11</f>
        <v>3</v>
      </c>
      <c r="T11" s="21">
        <f>IFERROR((S11*1)/L11,0)</f>
        <v>0.23601398601398602</v>
      </c>
      <c r="U11" s="56">
        <f>EW11</f>
        <v>1</v>
      </c>
      <c r="V11" s="56">
        <f>EX11</f>
        <v>1</v>
      </c>
      <c r="W11" s="56">
        <f>IFERROR(U11-V11,0)</f>
        <v>0</v>
      </c>
      <c r="X11" s="60">
        <f>IFERROR((V11*1)/U11,0.0000001)</f>
        <v>1</v>
      </c>
      <c r="Y11" s="338">
        <f>EA11</f>
        <v>3</v>
      </c>
      <c r="Z11" s="315">
        <f>IFERROR(Y11/L11,0)</f>
        <v>0.23601398601398602</v>
      </c>
      <c r="AA11" s="2">
        <f>DV11</f>
        <v>0</v>
      </c>
      <c r="AB11" s="2">
        <f>DW11</f>
        <v>0</v>
      </c>
      <c r="AC11" s="2">
        <f>IFERROR(DV11+DW11,0)</f>
        <v>0</v>
      </c>
      <c r="AD11" s="5">
        <f>AC11/L11</f>
        <v>0</v>
      </c>
      <c r="AE11" s="402">
        <f>IFERROR(EA11/(DV11),50)</f>
        <v>50</v>
      </c>
      <c r="AF11" s="402">
        <f>IFERROR(EA11/(DV11+DW11),50)</f>
        <v>50</v>
      </c>
      <c r="AG11" s="2">
        <f>Y11-(AA11+AB11)</f>
        <v>3</v>
      </c>
      <c r="AH11" s="21">
        <f>IFERROR((AC11*1)/Y11,0)</f>
        <v>0</v>
      </c>
      <c r="AI11" s="208">
        <f>EK11</f>
        <v>67</v>
      </c>
      <c r="AJ11" s="196">
        <f>IFERROR(AI11/L11,0)</f>
        <v>5.2709790209790217</v>
      </c>
      <c r="AK11" s="208">
        <f>EL11</f>
        <v>18</v>
      </c>
      <c r="AL11" s="196">
        <f>IFERROR(AK11/L11,0)</f>
        <v>1.4160839160839163</v>
      </c>
      <c r="AM11" s="21">
        <f>IFERROR(AK11/AI11,0)</f>
        <v>0.26865671641791045</v>
      </c>
      <c r="AN11" s="6">
        <f>IFERROR(EB11+EM11+EA11,0)</f>
        <v>39</v>
      </c>
      <c r="AO11" s="5">
        <f>IFERROR(AN11/L11,0)</f>
        <v>3.0681818181818183</v>
      </c>
      <c r="AP11" s="6">
        <f>IFERROR(EC11+EN11+EO11,0)</f>
        <v>18</v>
      </c>
      <c r="AQ11" s="5">
        <f>IFERROR(AP11/L11,0)</f>
        <v>1.4160839160839163</v>
      </c>
      <c r="AR11" s="21">
        <f>IFERROR((AP11*1)/AN11,0)</f>
        <v>0.46153846153846156</v>
      </c>
      <c r="AS11" s="2">
        <f>IFERROR(EA11-DV11-DW11,0)</f>
        <v>3</v>
      </c>
      <c r="AT11" s="21">
        <f>IFERROR((AS11*1)/EA11,0)</f>
        <v>1</v>
      </c>
      <c r="AU11" s="6">
        <f>EE11</f>
        <v>726</v>
      </c>
      <c r="AV11" s="6">
        <f>EF11</f>
        <v>668</v>
      </c>
      <c r="AW11" s="5">
        <f>IFERROR((AV11/L11),0)</f>
        <v>52.552447552447553</v>
      </c>
      <c r="AX11" s="5">
        <f>IFERROR((AV11-AY11)/(DP11/90),0)</f>
        <v>47.989510489510494</v>
      </c>
      <c r="AY11" s="6">
        <f>AU11-AV11</f>
        <v>58</v>
      </c>
      <c r="AZ11" s="5">
        <f>IFERROR(AY11/L11,0)</f>
        <v>4.5629370629370634</v>
      </c>
      <c r="BA11" s="20">
        <f>IFERROR((EF11*1)/EE11,0)</f>
        <v>0.92011019283746553</v>
      </c>
      <c r="BB11" s="317">
        <f>(EE11-EH11)</f>
        <v>645</v>
      </c>
      <c r="BC11" s="5">
        <f>IFERROR(BB11/L11,0)</f>
        <v>50.743006993006993</v>
      </c>
      <c r="BD11" s="6">
        <f>EH11</f>
        <v>81</v>
      </c>
      <c r="BE11" s="5">
        <f>IFERROR(BD11/L11,0)</f>
        <v>6.3723776223776225</v>
      </c>
      <c r="BF11" s="21">
        <f>IFERROR((BD11*1)/BB11,0)</f>
        <v>0.12558139534883722</v>
      </c>
      <c r="BG11" s="6">
        <f>EB11</f>
        <v>19</v>
      </c>
      <c r="BH11" s="5">
        <f>IFERROR(BG11/L11,0)</f>
        <v>1.4947552447552448</v>
      </c>
      <c r="BI11" s="6">
        <f>EC11</f>
        <v>3</v>
      </c>
      <c r="BJ11" s="5">
        <f>IFERROR(BI11/L11,0)</f>
        <v>0.23601398601398602</v>
      </c>
      <c r="BK11" s="21">
        <f>IFERROR(EC11/EB11,0)</f>
        <v>0.15789473684210525</v>
      </c>
      <c r="BL11" s="6">
        <f>EB11-EC11</f>
        <v>16</v>
      </c>
      <c r="BM11" s="5">
        <f>IFERROR(BL11/L11,0)</f>
        <v>1.2587412587412588</v>
      </c>
      <c r="BN11" s="6">
        <f>IFERROR((BO11*L11),0)</f>
        <v>0</v>
      </c>
      <c r="BO11" s="5">
        <f>ED11</f>
        <v>0</v>
      </c>
      <c r="BP11" s="21">
        <f>IFERROR((BI11*1)/BG11,0)</f>
        <v>0.15789473684210525</v>
      </c>
      <c r="BQ11" s="6">
        <f>EM11+EA11</f>
        <v>20</v>
      </c>
      <c r="BR11" s="5">
        <f>IFERROR(BQ11/L11,0)</f>
        <v>1.5734265734265735</v>
      </c>
      <c r="BS11" s="6">
        <f>EN11</f>
        <v>13</v>
      </c>
      <c r="BT11" s="5">
        <f>IFERROR(BS11/L11,0)</f>
        <v>1.0227272727272727</v>
      </c>
      <c r="BU11" s="6">
        <f>EM11-EN11</f>
        <v>4</v>
      </c>
      <c r="BV11" s="5">
        <f>IFERROR(BU11/L11,0)</f>
        <v>0.31468531468531469</v>
      </c>
      <c r="BW11" s="21">
        <f>IFERROR((BS11*1)/BQ11,0)</f>
        <v>0.65</v>
      </c>
      <c r="BX11" s="6">
        <f>EO11</f>
        <v>2</v>
      </c>
      <c r="BY11" s="5">
        <f>IFERROR(BX11/L11,0)</f>
        <v>0.15734265734265734</v>
      </c>
      <c r="BZ11" s="2">
        <f>EG11</f>
        <v>15</v>
      </c>
      <c r="CA11" s="5">
        <f>IFERROR(BZ11/L11,0)</f>
        <v>1.1800699300699302</v>
      </c>
      <c r="CB11" s="6">
        <f>IFERROR(EQ11+EP11+ER11+EO11+(EU11*L11),0)</f>
        <v>231.02222222222221</v>
      </c>
      <c r="CC11" s="5">
        <f>IFERROR(CB11/L11,0)</f>
        <v>18.174825174825177</v>
      </c>
      <c r="CD11" s="5">
        <f>IFERROR((DX11+EG11+DU11)/L11,0)</f>
        <v>2.5174825174825175</v>
      </c>
      <c r="CE11" s="6">
        <f>SUM(EN:EN)</f>
        <v>233</v>
      </c>
      <c r="CF11" s="390">
        <f>IFERROR((EN11*1)/CE11,0)</f>
        <v>5.5793991416309016E-2</v>
      </c>
      <c r="CG11" s="384">
        <f>ER11+EQ11+ES11+EP11</f>
        <v>42</v>
      </c>
      <c r="CH11" s="385">
        <f>IFERROR(CG11/L11,0)</f>
        <v>3.3041958041958046</v>
      </c>
      <c r="CI11" s="384">
        <f>EL11+EN11+(EO11*0.5)</f>
        <v>32</v>
      </c>
      <c r="CJ11" s="385">
        <f>IFERROR(CI11/L11,0)</f>
        <v>2.5174825174825175</v>
      </c>
      <c r="CK11" s="388">
        <f>EU11</f>
        <v>15.5</v>
      </c>
      <c r="CL11" s="61">
        <f>IFERROR((DS11*3)+(DV11*1.5)+(DW11*2)+EM11+EQ11+ES11+EP11+ER11+EA11+(BN11*0.5),0)</f>
        <v>62</v>
      </c>
      <c r="CM11" s="62">
        <f>IFERROR(CL11/L11,0)</f>
        <v>4.8776223776223775</v>
      </c>
      <c r="CN11" s="61">
        <f>IFERROR(EN11+EQ11+EO11+ES11+EP11+ER11+(BN11*0.5),0)</f>
        <v>57</v>
      </c>
      <c r="CO11" s="62">
        <f>IFERROR(CN11/L11,0)</f>
        <v>4.4842657342657342</v>
      </c>
      <c r="CP11" s="320">
        <f>IFERROR((DS11*3)+(DV11*1.25)+(DW11*2)+EA11+AY11,0)</f>
        <v>61</v>
      </c>
      <c r="CQ11" s="321">
        <f>CP11/L11</f>
        <v>4.7989510489510492</v>
      </c>
      <c r="CR11" s="350">
        <f>IFERROR(CN11/CL11,0)</f>
        <v>0.91935483870967738</v>
      </c>
      <c r="CS11" s="191">
        <f>IFERROR(SUBSTITUTE(DZ11,".","," ),0)*1</f>
        <v>4.2300000000000004</v>
      </c>
      <c r="CT11" s="191">
        <f>IFERROR(CS11/EG11,0)</f>
        <v>0.28200000000000003</v>
      </c>
      <c r="CU11" s="6">
        <f>IFERROR(EG11+DX11,0)</f>
        <v>23</v>
      </c>
      <c r="CV11" s="62">
        <f>IFERROR(CU11/L11,0)</f>
        <v>1.8094405594405596</v>
      </c>
      <c r="CW11" s="5">
        <f>IFERROR(VALUE(SUBSTITUTE(EY11, " km", "")),0)</f>
        <v>149.5</v>
      </c>
      <c r="CX11" s="5">
        <f>IFERROR(CW11/L11,0)</f>
        <v>11.761363636363637</v>
      </c>
      <c r="CY11" s="323">
        <f>IFERROR((((CW11*1000)/(DP11*60))*3600)/1000,0)</f>
        <v>7.8409090909090917</v>
      </c>
      <c r="CZ11" s="406">
        <f>CW11/(EN11+EL11+EQ11+EP11+(EO11*1.5))</f>
        <v>2.2999999999999998</v>
      </c>
      <c r="DA11" s="407">
        <f>(EC11+EN11)/CW11</f>
        <v>0.10702341137123746</v>
      </c>
      <c r="DB11" s="180">
        <f>IFERROR((EE11-EF11)+(EB11-EC11)+(EI11-EJ11),0)</f>
        <v>82</v>
      </c>
      <c r="DC11" s="117">
        <f>IFERROR(DB11/L11,0)</f>
        <v>6.4510489510489517</v>
      </c>
      <c r="DD11" s="117">
        <f>DY11</f>
        <v>6.5</v>
      </c>
      <c r="DE11" s="117">
        <f>IFERROR(VALUE(SUBSTITUTE(EZ11, ".", ",")),0)</f>
        <v>6.98</v>
      </c>
      <c r="DF11" s="298" t="s">
        <v>1002</v>
      </c>
      <c r="DG11" s="294" t="s">
        <v>1029</v>
      </c>
      <c r="DH11" s="294" t="s">
        <v>1030</v>
      </c>
      <c r="DI11" s="294">
        <v>28</v>
      </c>
      <c r="DJ11" s="294" t="s">
        <v>997</v>
      </c>
      <c r="DK11" s="294" t="s">
        <v>561</v>
      </c>
      <c r="DL11" s="294" t="s">
        <v>601</v>
      </c>
      <c r="DM11" s="294" t="s">
        <v>1028</v>
      </c>
      <c r="DN11" s="294" t="s">
        <v>1031</v>
      </c>
      <c r="DO11" s="295">
        <v>47299</v>
      </c>
      <c r="DP11" s="294">
        <v>1144</v>
      </c>
      <c r="DQ11" s="294" t="s">
        <v>1032</v>
      </c>
      <c r="DR11" s="294">
        <v>3</v>
      </c>
      <c r="DS11" s="294">
        <v>0</v>
      </c>
      <c r="DT11" s="294">
        <v>1</v>
      </c>
      <c r="DU11" s="294">
        <v>9</v>
      </c>
      <c r="DV11" s="294">
        <v>0</v>
      </c>
      <c r="DW11" s="294">
        <v>0</v>
      </c>
      <c r="DX11" s="294">
        <v>8</v>
      </c>
      <c r="DY11" s="294">
        <v>6.5</v>
      </c>
      <c r="DZ11" s="294" t="s">
        <v>1110</v>
      </c>
      <c r="EA11" s="294">
        <v>3</v>
      </c>
      <c r="EB11" s="294">
        <v>19</v>
      </c>
      <c r="EC11" s="294">
        <v>3</v>
      </c>
      <c r="ED11" s="294">
        <v>0</v>
      </c>
      <c r="EE11" s="294">
        <v>726</v>
      </c>
      <c r="EF11" s="294">
        <v>668</v>
      </c>
      <c r="EG11" s="294">
        <v>15</v>
      </c>
      <c r="EH11" s="294">
        <v>81</v>
      </c>
      <c r="EI11" s="294">
        <v>12</v>
      </c>
      <c r="EJ11" s="294">
        <v>4</v>
      </c>
      <c r="EK11" s="294">
        <v>67</v>
      </c>
      <c r="EL11" s="294">
        <v>18</v>
      </c>
      <c r="EM11" s="294">
        <v>17</v>
      </c>
      <c r="EN11" s="294">
        <v>13</v>
      </c>
      <c r="EO11" s="294">
        <v>2</v>
      </c>
      <c r="EP11" s="294">
        <v>7</v>
      </c>
      <c r="EQ11" s="294">
        <v>24</v>
      </c>
      <c r="ER11" s="294">
        <v>1</v>
      </c>
      <c r="ES11" s="294">
        <v>10</v>
      </c>
      <c r="ET11" s="294">
        <v>9</v>
      </c>
      <c r="EU11" s="294">
        <v>15.5</v>
      </c>
      <c r="EV11" s="294">
        <v>0</v>
      </c>
      <c r="EW11" s="294">
        <v>1</v>
      </c>
      <c r="EX11" s="294">
        <v>1</v>
      </c>
      <c r="EY11" s="294" t="s">
        <v>1033</v>
      </c>
      <c r="EZ11" s="299">
        <v>6.98</v>
      </c>
    </row>
    <row r="12" spans="1:156" ht="24.95" customHeight="1" x14ac:dyDescent="0.25"/>
    <row r="13" spans="1:156" ht="24.95" customHeight="1" x14ac:dyDescent="0.25"/>
    <row r="14" spans="1:156" ht="24.95" customHeight="1" x14ac:dyDescent="0.25"/>
    <row r="15" spans="1:156" ht="24.95" customHeight="1" x14ac:dyDescent="0.25"/>
    <row r="16" spans="1:156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EZ414" xr:uid="{00000000-0001-0000-0300-000000000000}">
    <sortState xmlns:xlrd2="http://schemas.microsoft.com/office/spreadsheetml/2017/richdata2" ref="B2:EZ414">
      <sortCondition ref="B1:B414"/>
    </sortState>
  </autoFilter>
  <phoneticPr fontId="53" type="noConversion"/>
  <conditionalFormatting sqref="AX1:AX1048576">
    <cfRule type="iconSet" priority="22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W1048576"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497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U1:AU1048576">
    <cfRule type="iconSet" priority="2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iconSet" priority="27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iconSet" priority="2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iconSet" priority="2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iconSet" priority="22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iconSet" priority="22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3">
      <colorScale>
        <cfvo type="min"/>
        <cfvo type="max"/>
        <color rgb="FFFFEF9C"/>
        <color rgb="FF63BE7B"/>
      </colorScale>
    </cfRule>
  </conditionalFormatting>
  <conditionalFormatting sqref="H1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:BY1048576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colorScale" priority="419">
      <colorScale>
        <cfvo type="min"/>
        <cfvo type="max"/>
        <color rgb="FF63BE7B"/>
        <color rgb="FFFFEF9C"/>
      </colorScale>
    </cfRule>
  </conditionalFormatting>
  <conditionalFormatting sqref="U1:U1048576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048576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iconSet" priority="309">
      <iconSet iconSet="3Arrows">
        <cfvo type="percent" val="0"/>
        <cfvo type="num" val="6.7"/>
        <cfvo type="num" val="7"/>
      </iconSet>
    </cfRule>
    <cfRule type="colorScale" priority="311">
      <colorScale>
        <cfvo type="num" val="6.6"/>
        <cfvo type="num" val="6.65"/>
        <cfvo type="num" val="7"/>
        <color rgb="FFF8696B"/>
        <color rgb="FFFFEB84"/>
        <color rgb="FF63BE7B"/>
      </colorScale>
    </cfRule>
  </conditionalFormatting>
  <conditionalFormatting sqref="CW1:CW1048576">
    <cfRule type="iconSet" priority="2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4">
      <colorScale>
        <cfvo type="min"/>
        <cfvo type="percentile" val="50"/>
        <cfvo type="max"/>
        <color rgb="FFFF5757"/>
        <color theme="4" tint="0.39997558519241921"/>
        <color rgb="FF00B0F0"/>
      </colorScale>
    </cfRule>
  </conditionalFormatting>
  <conditionalFormatting sqref="CC1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iconSet" priority="26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iconSet" priority="2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048576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iconSet" priority="254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U1:BU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{6322CF6E-982D-4EF5-A921-E48E07C9E478}</x14:id>
        </ext>
      </extLst>
    </cfRule>
    <cfRule type="iconSet" priority="24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52">
      <colorScale>
        <cfvo type="min"/>
        <cfvo type="max"/>
        <color rgb="FFFCFCFF"/>
        <color rgb="FFF8696B"/>
      </colorScale>
    </cfRule>
  </conditionalFormatting>
  <conditionalFormatting sqref="BV1:BV1048576">
    <cfRule type="dataBar" priority="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{33AF2B08-521E-42D6-983D-1F91EB9507C2}</x14:id>
        </ext>
      </extLst>
    </cfRule>
    <cfRule type="iconSet" priority="25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51">
      <colorScale>
        <cfvo type="min"/>
        <cfvo type="max"/>
        <color rgb="FFFCFCFF"/>
        <color rgb="FFF8696B"/>
      </colorScale>
    </cfRule>
  </conditionalFormatting>
  <conditionalFormatting sqref="AN1:AN1048576">
    <cfRule type="iconSet" priority="24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048576">
    <cfRule type="iconSet" priority="2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4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Q1:AR1 AQ2:AQ1048576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4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T1:AT1048576">
    <cfRule type="iconSet" priority="23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048576">
    <cfRule type="iconSet" priority="2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colorScale" priority="230">
      <colorScale>
        <cfvo type="min"/>
        <cfvo type="percentile" val="50"/>
        <cfvo type="max"/>
        <color rgb="FFFFAFAF"/>
        <color theme="7" tint="0.79998168889431442"/>
        <color theme="7" tint="0.39997558519241921"/>
      </colorScale>
    </cfRule>
  </conditionalFormatting>
  <conditionalFormatting sqref="BI1:BI1048576">
    <cfRule type="iconSet" priority="22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G1:BG1048576">
    <cfRule type="iconSet" priority="22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Y1:AY1048576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{D4780F37-89FC-473F-886B-2CBBE6F2DF30}</x14:id>
        </ext>
      </extLst>
    </cfRule>
    <cfRule type="iconSet" priority="22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6">
      <colorScale>
        <cfvo type="min"/>
        <cfvo type="max"/>
        <color rgb="FFFCFCFF"/>
        <color rgb="FFF8696B"/>
      </colorScale>
    </cfRule>
  </conditionalFormatting>
  <conditionalFormatting sqref="AZ1:AZ1048576">
    <cfRule type="dataBar" priority="5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{3320697B-D653-46C0-90A9-EDC530394320}</x14:id>
        </ext>
      </extLst>
    </cfRule>
    <cfRule type="iconSet" priority="21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25">
      <colorScale>
        <cfvo type="min"/>
        <cfvo type="max"/>
        <color rgb="FFFCFCFF"/>
        <color rgb="FFF8696B"/>
      </colorScale>
    </cfRule>
  </conditionalFormatting>
  <conditionalFormatting sqref="S1:S1048576">
    <cfRule type="iconSet" priority="212">
      <iconSet iconSet="3ArrowsGray">
        <cfvo type="percent" val="0"/>
        <cfvo type="percent" val="33"/>
        <cfvo type="percent" val="67"/>
      </iconSet>
    </cfRule>
    <cfRule type="colorScale" priority="213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T1:T1048576">
    <cfRule type="colorScale" priority="210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11">
      <iconSet iconSet="3ArrowsGray">
        <cfvo type="percent" val="0"/>
        <cfvo type="percent" val="33"/>
        <cfvo type="percent" val="67"/>
      </iconSet>
    </cfRule>
  </conditionalFormatting>
  <conditionalFormatting sqref="CX1:CX1048576">
    <cfRule type="colorScale" priority="208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20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B1:DB1048576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{D2DCCE4B-E845-4E8C-A2FE-5C5D28B88C1F}</x14:id>
        </ext>
      </extLst>
    </cfRule>
    <cfRule type="iconSet" priority="198">
      <iconSet iconSet="3ArrowsGray" reverse="1">
        <cfvo type="percent" val="0"/>
        <cfvo type="percent" val="33"/>
        <cfvo type="percent" val="67"/>
      </iconSet>
    </cfRule>
    <cfRule type="colorScale" priority="201">
      <colorScale>
        <cfvo type="min"/>
        <cfvo type="max"/>
        <color rgb="FFFCFCFF"/>
        <color rgb="FFF8696B"/>
      </colorScale>
    </cfRule>
  </conditionalFormatting>
  <conditionalFormatting sqref="DC1:DC1048576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{C060681A-C656-45E0-8539-4E875510F5D4}</x14:id>
        </ext>
      </extLst>
    </cfRule>
    <cfRule type="iconSet" priority="197">
      <iconSet iconSet="3ArrowsGray" reverse="1">
        <cfvo type="percent" val="0"/>
        <cfvo type="percent" val="33"/>
        <cfvo type="percent" val="67"/>
      </iconSet>
    </cfRule>
    <cfRule type="colorScale" priority="200">
      <colorScale>
        <cfvo type="min"/>
        <cfvo type="max"/>
        <color rgb="FFFCFCFF"/>
        <color rgb="FFF8696B"/>
      </colorScale>
    </cfRule>
  </conditionalFormatting>
  <conditionalFormatting sqref="DD1:DD1048576">
    <cfRule type="dataBar" priority="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{D9BB43F1-728D-4B92-B0DD-CA57D870D211}</x14:id>
        </ext>
      </extLst>
    </cfRule>
    <cfRule type="iconSet" priority="196">
      <iconSet iconSet="3ArrowsGray" reverse="1">
        <cfvo type="percent" val="0"/>
        <cfvo type="percent" val="33"/>
        <cfvo type="percent" val="67"/>
      </iconSet>
    </cfRule>
    <cfRule type="colorScale" priority="199">
      <colorScale>
        <cfvo type="min"/>
        <cfvo type="max"/>
        <color rgb="FFFCFCFF"/>
        <color rgb="FFF8696B"/>
      </colorScale>
    </cfRule>
  </conditionalFormatting>
  <conditionalFormatting sqref="P1:P1048576">
    <cfRule type="colorScale" priority="195">
      <colorScale>
        <cfvo type="min"/>
        <cfvo type="max"/>
        <color rgb="FFFFEF9C"/>
        <color rgb="FF63BE7B"/>
      </colorScale>
    </cfRule>
  </conditionalFormatting>
  <conditionalFormatting sqref="L1:L1048576">
    <cfRule type="colorScale" priority="194">
      <colorScale>
        <cfvo type="min"/>
        <cfvo type="max"/>
        <color rgb="FFFFEF9C"/>
        <color rgb="FF63BE7B"/>
      </colorScale>
    </cfRule>
  </conditionalFormatting>
  <conditionalFormatting sqref="Q1:Q1048576">
    <cfRule type="colorScale" priority="193">
      <colorScale>
        <cfvo type="min"/>
        <cfvo type="max"/>
        <color rgb="FFFFEF9C"/>
        <color rgb="FF63BE7B"/>
      </colorScale>
    </cfRule>
  </conditionalFormatting>
  <conditionalFormatting sqref="BR1:BR1048576">
    <cfRule type="iconSet" priority="18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colorScale" priority="160">
      <colorScale>
        <cfvo type="min"/>
        <cfvo type="max"/>
        <color rgb="FFFFEF9C"/>
        <color rgb="FF63BE7B"/>
      </colorScale>
    </cfRule>
  </conditionalFormatting>
  <conditionalFormatting sqref="BC1:BC1048576">
    <cfRule type="colorScale" priority="159">
      <colorScale>
        <cfvo type="min"/>
        <cfvo type="max"/>
        <color rgb="FFFFEF9C"/>
        <color rgb="FF63BE7B"/>
      </colorScale>
    </cfRule>
  </conditionalFormatting>
  <conditionalFormatting sqref="BD1:BD1048576">
    <cfRule type="iconSet" priority="1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8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BE1:BE1048576">
    <cfRule type="iconSet" priority="15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6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BF1:BF1048576">
    <cfRule type="iconSet" priority="15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S1:CS1048576">
    <cfRule type="dataBar" priority="1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{9AB0871F-A595-4E65-9B7E-63E5D0EEBC4C}</x14:id>
        </ext>
      </extLst>
    </cfRule>
    <cfRule type="colorScale" priority="13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T1:CT1048576">
    <cfRule type="dataBar" priority="1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{033250E9-938B-45FC-B9EC-091259CA6FAF}</x14:id>
        </ext>
      </extLst>
    </cfRule>
    <cfRule type="colorScale" priority="13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U1:CU1048576">
    <cfRule type="iconSet" priority="1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1">
      <colorScale>
        <cfvo type="min"/>
        <cfvo type="max"/>
        <color rgb="FFFFEF9C"/>
        <color rgb="FF63BE7B"/>
      </colorScale>
    </cfRule>
  </conditionalFormatting>
  <conditionalFormatting sqref="CV1:CV1048576">
    <cfRule type="colorScale" priority="128">
      <colorScale>
        <cfvo type="min"/>
        <cfvo type="max"/>
        <color rgb="FFFFEF9C"/>
        <color rgb="FF63BE7B"/>
      </colorScale>
    </cfRule>
    <cfRule type="iconSet" priority="129">
      <iconSet iconSet="3Arrows">
        <cfvo type="percent" val="0"/>
        <cfvo type="percent" val="33"/>
        <cfvo type="percent" val="67"/>
      </iconSet>
    </cfRule>
  </conditionalFormatting>
  <conditionalFormatting sqref="R1:R1048576">
    <cfRule type="colorScale" priority="127">
      <colorScale>
        <cfvo type="min"/>
        <cfvo type="max"/>
        <color rgb="FFFFEF9C"/>
        <color rgb="FF63BE7B"/>
      </colorScale>
    </cfRule>
  </conditionalFormatting>
  <conditionalFormatting sqref="BL1:BL1048576">
    <cfRule type="iconSet" priority="111">
      <iconSet iconSet="3ArrowsGray" reverse="1">
        <cfvo type="percent" val="0"/>
        <cfvo type="percent" val="33"/>
        <cfvo type="percent" val="67"/>
      </iconSet>
    </cfRule>
    <cfRule type="colorScale" priority="112">
      <colorScale>
        <cfvo type="min"/>
        <cfvo type="max"/>
        <color rgb="FFFCFCFF"/>
        <color rgb="FFF8696B"/>
      </colorScale>
    </cfRule>
  </conditionalFormatting>
  <conditionalFormatting sqref="BN1:BN104857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iconSet" priority="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4">
      <colorScale>
        <cfvo type="min"/>
        <cfvo type="max"/>
        <color rgb="FFFFEF9C"/>
        <color rgb="FF63BE7B"/>
      </colorScale>
    </cfRule>
  </conditionalFormatting>
  <conditionalFormatting sqref="CL1:CL1048576">
    <cfRule type="iconSet" priority="8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M1:CM1048576">
    <cfRule type="iconSet" priority="88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93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AH1:AH1048576">
    <cfRule type="iconSet" priority="9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iconSet" priority="27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{6C5A4904-E225-4B19-B1E4-F6349AA9AC2C}</x14:id>
        </ext>
      </extLst>
    </cfRule>
    <cfRule type="colorScale" priority="76">
      <colorScale>
        <cfvo type="min"/>
        <cfvo type="max"/>
        <color rgb="FFFDD7D8"/>
        <color rgb="FFF8696B"/>
      </colorScale>
    </cfRule>
  </conditionalFormatting>
  <conditionalFormatting sqref="AI1:AI1048576">
    <cfRule type="iconSet" priority="66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J1:AJ1048576">
    <cfRule type="iconSet" priority="69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K1:AK1048576">
    <cfRule type="iconSet" priority="67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L1:AL1048576">
    <cfRule type="iconSet" priority="68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M1:AM1048576"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H1:BH104857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55">
      <colorScale>
        <cfvo type="min"/>
        <cfvo type="max"/>
        <color rgb="FFFCFCFF"/>
        <color rgb="FFF8696B"/>
      </colorScale>
    </cfRule>
  </conditionalFormatting>
  <conditionalFormatting sqref="CP1:CP1048576">
    <cfRule type="iconSet" priority="47">
      <iconSet iconSet="3ArrowsGray" reverse="1">
        <cfvo type="percent" val="0"/>
        <cfvo type="percent" val="33"/>
        <cfvo type="percent" val="67"/>
      </iconSet>
    </cfRule>
    <cfRule type="dataBar" priority="49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{0E442C20-D516-4CD0-8A99-6BF460A7C53D}</x14:id>
        </ext>
      </extLst>
    </cfRule>
  </conditionalFormatting>
  <conditionalFormatting sqref="CQ1:CQ1048576">
    <cfRule type="iconSet" priority="46">
      <iconSet iconSet="3ArrowsGray" reverse="1">
        <cfvo type="percent" val="0"/>
        <cfvo type="percent" val="33"/>
        <cfvo type="percent" val="67"/>
      </iconSet>
    </cfRule>
    <cfRule type="dataBar" priority="48">
      <dataBar>
        <cfvo type="min"/>
        <cfvo type="max"/>
        <color rgb="FF9A0000"/>
      </dataBar>
      <extLst>
        <ext xmlns:x14="http://schemas.microsoft.com/office/spreadsheetml/2009/9/main" uri="{B025F937-C7B1-47D3-B67F-A62EFF666E3E}">
          <x14:id>{43D8EAAB-E007-493A-9E5C-181644F867E1}</x14:id>
        </ext>
      </extLst>
    </cfRule>
  </conditionalFormatting>
  <conditionalFormatting sqref="CY1:CY1048576">
    <cfRule type="iconSet" priority="4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{A0DAB158-559C-4FD2-8C3A-ACFC4A12C498}</x14:id>
        </ext>
      </extLst>
    </cfRule>
  </conditionalFormatting>
  <conditionalFormatting sqref="Y1:Y1048576">
    <cfRule type="dataBar" priority="3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{1B17DBE5-B936-4B4C-9B09-2942DB906136}</x14:id>
        </ext>
      </extLst>
    </cfRule>
  </conditionalFormatting>
  <conditionalFormatting sqref="Z1:Z1048576">
    <cfRule type="dataBar" priority="3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{A10A3539-B0FC-4298-A6BE-FB8462039FE7}</x14:id>
        </ext>
      </extLst>
    </cfRule>
  </conditionalFormatting>
  <conditionalFormatting sqref="CR1:CR1048576">
    <cfRule type="iconSet" priority="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iconSet" priority="26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{9447FF01-D52A-49D2-8A63-ECF566AE0774}</x14:id>
        </ext>
      </extLst>
    </cfRule>
    <cfRule type="colorScale" priority="29">
      <colorScale>
        <cfvo type="min"/>
        <cfvo type="max"/>
        <color rgb="FFFDD7D8"/>
        <color rgb="FFF8696B"/>
      </colorScale>
    </cfRule>
  </conditionalFormatting>
  <conditionalFormatting sqref="AA1:AA1048576">
    <cfRule type="dataBar" priority="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{85E3D835-4381-4009-8A98-3B3643784A80}</x14:id>
        </ext>
      </extLst>
    </cfRule>
    <cfRule type="colorScale" priority="25">
      <colorScale>
        <cfvo type="min"/>
        <cfvo type="max"/>
        <color rgb="FFFDD7D8"/>
        <color rgb="FFF8696B"/>
      </colorScale>
    </cfRule>
  </conditionalFormatting>
  <conditionalFormatting sqref="AB1:AB1048576">
    <cfRule type="colorScale" priority="24">
      <colorScale>
        <cfvo type="min"/>
        <cfvo type="max"/>
        <color rgb="FFFDD7D8"/>
        <color rgb="FFF8696B"/>
      </colorScale>
    </cfRule>
  </conditionalFormatting>
  <conditionalFormatting sqref="CG1:CG1048576">
    <cfRule type="dataBar" priority="22">
      <dataBar>
        <cfvo type="min"/>
        <cfvo type="max"/>
        <color rgb="FF004F8A"/>
      </dataBar>
      <extLst>
        <ext xmlns:x14="http://schemas.microsoft.com/office/spreadsheetml/2009/9/main" uri="{B025F937-C7B1-47D3-B67F-A62EFF666E3E}">
          <x14:id>{4E925D6F-51CE-4BEC-8374-86AC708D45C9}</x14:id>
        </ext>
      </extLst>
    </cfRule>
  </conditionalFormatting>
  <conditionalFormatting sqref="CH1:CH1048576">
    <cfRule type="dataBar" priority="21">
      <dataBar>
        <cfvo type="min"/>
        <cfvo type="max"/>
        <color rgb="FF004F8A"/>
      </dataBar>
      <extLst>
        <ext xmlns:x14="http://schemas.microsoft.com/office/spreadsheetml/2009/9/main" uri="{B025F937-C7B1-47D3-B67F-A62EFF666E3E}">
          <x14:id>{0D9DBF81-33A9-4BFD-B612-C43F932FA534}</x14:id>
        </ext>
      </extLst>
    </cfRule>
  </conditionalFormatting>
  <conditionalFormatting sqref="CI1:CI1048576">
    <cfRule type="dataBar" priority="20">
      <dataBar>
        <cfvo type="min"/>
        <cfvo type="max"/>
        <color rgb="FFD28C00"/>
      </dataBar>
      <extLst>
        <ext xmlns:x14="http://schemas.microsoft.com/office/spreadsheetml/2009/9/main" uri="{B025F937-C7B1-47D3-B67F-A62EFF666E3E}">
          <x14:id>{2911B82B-500D-4B47-9E5A-05C7C2B63896}</x14:id>
        </ext>
      </extLst>
    </cfRule>
  </conditionalFormatting>
  <conditionalFormatting sqref="CJ1:CJ1048576">
    <cfRule type="dataBar" priority="19">
      <dataBar>
        <cfvo type="min"/>
        <cfvo type="max"/>
        <color rgb="FFD28C00"/>
      </dataBar>
      <extLst>
        <ext xmlns:x14="http://schemas.microsoft.com/office/spreadsheetml/2009/9/main" uri="{B025F937-C7B1-47D3-B67F-A62EFF666E3E}">
          <x14:id>{FD0EF206-088C-432F-A024-9F0287D4A36D}</x14:id>
        </ext>
      </extLst>
    </cfRule>
  </conditionalFormatting>
  <conditionalFormatting sqref="CK1:CK1048576">
    <cfRule type="dataBar" priority="17">
      <dataBar>
        <cfvo type="min"/>
        <cfvo type="max"/>
        <color rgb="FF0060A8"/>
      </dataBar>
      <extLst>
        <ext xmlns:x14="http://schemas.microsoft.com/office/spreadsheetml/2009/9/main" uri="{B025F937-C7B1-47D3-B67F-A62EFF666E3E}">
          <x14:id>{25305FC2-B0E2-49AF-98D1-A0EE42AE54A0}</x14:id>
        </ext>
      </extLst>
    </cfRule>
  </conditionalFormatting>
  <conditionalFormatting sqref="CF1:CF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U12:AX1048576 AU1:AU11 AX1:AX11">
    <cfRule type="colorScale" priority="26416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2:AW1048576 AU1:AU11">
    <cfRule type="colorScale" priority="26416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2:AX1048576 AU1:AU11 AX1:AX11">
    <cfRule type="colorScale" priority="264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2:DE1048576">
    <cfRule type="colorScale" priority="2641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1">
    <cfRule type="colorScale" priority="26426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1">
    <cfRule type="colorScale" priority="26426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11">
    <cfRule type="colorScale" priority="26426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11 AX2:AX11">
    <cfRule type="colorScale" priority="26426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2:BZ11">
    <cfRule type="colorScale" priority="2642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W11">
    <cfRule type="colorScale" priority="2642634">
      <colorScale>
        <cfvo type="min"/>
        <cfvo type="max"/>
        <color rgb="FFFFEF9C"/>
        <color rgb="FF63BE7B"/>
      </colorScale>
    </cfRule>
  </conditionalFormatting>
  <conditionalFormatting sqref="BX2:BX11">
    <cfRule type="colorScale" priority="2642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Y11">
    <cfRule type="colorScale" priority="26426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642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642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2:DE11">
    <cfRule type="colorScale" priority="2642644">
      <colorScale>
        <cfvo type="min"/>
        <cfvo type="max"/>
        <color rgb="FFFFEF9C"/>
        <color rgb="FF63BE7B"/>
      </colorScale>
    </cfRule>
  </conditionalFormatting>
  <conditionalFormatting sqref="CW2:CW11">
    <cfRule type="colorScale" priority="2642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1">
    <cfRule type="colorScale" priority="2642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:AS11">
    <cfRule type="colorScale" priority="2642650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64265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N2:N11">
    <cfRule type="iconSet" priority="26426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42655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6426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{2604A568-33B0-48A5-9F1B-7CD2A22703DC}</x14:id>
        </ext>
      </extLst>
    </cfRule>
    <cfRule type="colorScale" priority="26426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642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iconSet" priority="1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1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2:CZ11">
    <cfRule type="iconSet" priority="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A1:DA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22CF6E-982D-4EF5-A921-E48E07C9E4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33AF2B08-521E-42D6-983D-1F91EB9507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BV1:BV1048576</xm:sqref>
        </x14:conditionalFormatting>
        <x14:conditionalFormatting xmlns:xm="http://schemas.microsoft.com/office/excel/2006/main">
          <x14:cfRule type="dataBar" id="{D4780F37-89FC-473F-886B-2CBBE6F2DF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3320697B-D653-46C0-90A9-EDC5303943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D2DCCE4B-E845-4E8C-A2FE-5C5D28B88C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DB1:DB1048576</xm:sqref>
        </x14:conditionalFormatting>
        <x14:conditionalFormatting xmlns:xm="http://schemas.microsoft.com/office/excel/2006/main">
          <x14:cfRule type="dataBar" id="{C060681A-C656-45E0-8539-4E875510F5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DC1:DC1048576</xm:sqref>
        </x14:conditionalFormatting>
        <x14:conditionalFormatting xmlns:xm="http://schemas.microsoft.com/office/excel/2006/main">
          <x14:cfRule type="dataBar" id="{D9BB43F1-728D-4B92-B0DD-CA57D870D2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DD1:DD1048576</xm:sqref>
        </x14:conditionalFormatting>
        <x14:conditionalFormatting xmlns:xm="http://schemas.microsoft.com/office/excel/2006/main">
          <x14:cfRule type="dataBar" id="{9AB0871F-A595-4E65-9B7E-63E5D0EEBC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CS1:CS1048576</xm:sqref>
        </x14:conditionalFormatting>
        <x14:conditionalFormatting xmlns:xm="http://schemas.microsoft.com/office/excel/2006/main">
          <x14:cfRule type="dataBar" id="{033250E9-938B-45FC-B9EC-091259CA6F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CT1:CT1048576</xm:sqref>
        </x14:conditionalFormatting>
        <x14:conditionalFormatting xmlns:xm="http://schemas.microsoft.com/office/excel/2006/main">
          <x14:cfRule type="dataBar" id="{6C5A4904-E225-4B19-B1E4-F6349AA9AC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0E442C20-D516-4CD0-8A99-6BF460A7C5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CP1:CP1048576</xm:sqref>
        </x14:conditionalFormatting>
        <x14:conditionalFormatting xmlns:xm="http://schemas.microsoft.com/office/excel/2006/main">
          <x14:cfRule type="dataBar" id="{43D8EAAB-E007-493A-9E5C-181644F86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CQ1:CQ1048576</xm:sqref>
        </x14:conditionalFormatting>
        <x14:conditionalFormatting xmlns:xm="http://schemas.microsoft.com/office/excel/2006/main">
          <x14:cfRule type="dataBar" id="{A0DAB158-559C-4FD2-8C3A-ACFC4A12C4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CY1:CY1048576</xm:sqref>
        </x14:conditionalFormatting>
        <x14:conditionalFormatting xmlns:xm="http://schemas.microsoft.com/office/excel/2006/main">
          <x14:cfRule type="dataBar" id="{1B17DBE5-B936-4B4C-9B09-2942DB90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A10A3539-B0FC-4298-A6BE-FB8462039F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9447FF01-D52A-49D2-8A63-ECF566AE07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85E3D835-4381-4009-8A98-3B3643784A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4E925D6F-51CE-4BEC-8374-86AC708D45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0D9DBF81-33A9-4BFD-B612-C43F932FA5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CH1:CH1048576</xm:sqref>
        </x14:conditionalFormatting>
        <x14:conditionalFormatting xmlns:xm="http://schemas.microsoft.com/office/excel/2006/main">
          <x14:cfRule type="dataBar" id="{2911B82B-500D-4B47-9E5A-05C7C2B638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CI1:CI1048576</xm:sqref>
        </x14:conditionalFormatting>
        <x14:conditionalFormatting xmlns:xm="http://schemas.microsoft.com/office/excel/2006/main">
          <x14:cfRule type="dataBar" id="{FD0EF206-088C-432F-A024-9F0287D4A3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25305FC2-B0E2-49AF-98D1-A0EE42AE54A0}">
            <x14:dataBar minLength="0" maxLength="100" border="1" gradient="0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CK1:CK1048576</xm:sqref>
        </x14:conditionalFormatting>
        <x14:conditionalFormatting xmlns:xm="http://schemas.microsoft.com/office/excel/2006/main">
          <x14:cfRule type="dataBar" id="{2604A568-33B0-48A5-9F1B-7CD2A22703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theme="9" tint="0.39997558519241921"/>
  </sheetPr>
  <dimension ref="A1:FP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1.7109375" customWidth="1"/>
    <col min="5" max="5" width="21.140625" bestFit="1" customWidth="1"/>
    <col min="6" max="6" width="14.7109375" customWidth="1"/>
    <col min="7" max="7" width="15.7109375" customWidth="1"/>
    <col min="8" max="8" width="19.85546875" style="13" customWidth="1"/>
    <col min="9" max="9" width="13.42578125" customWidth="1"/>
    <col min="10" max="10" width="17.28515625" bestFit="1" customWidth="1"/>
    <col min="11" max="11" width="15.7109375" customWidth="1"/>
    <col min="12" max="12" width="15.7109375" style="13" customWidth="1"/>
    <col min="13" max="19" width="18.7109375" style="13" customWidth="1"/>
    <col min="20" max="34" width="18.7109375" customWidth="1"/>
    <col min="35" max="35" width="18.7109375" style="13" customWidth="1"/>
    <col min="36" max="37" width="18.7109375" customWidth="1"/>
    <col min="38" max="50" width="18.7109375" style="13" customWidth="1"/>
    <col min="51" max="53" width="18.7109375" customWidth="1"/>
    <col min="54" max="55" width="18.7109375" style="13" customWidth="1"/>
    <col min="56" max="58" width="18.7109375" style="106" customWidth="1"/>
    <col min="59" max="70" width="18.7109375" customWidth="1"/>
    <col min="71" max="75" width="18.7109375" style="13" customWidth="1"/>
    <col min="76" max="103" width="18.7109375" customWidth="1"/>
    <col min="104" max="111" width="18.7109375" style="106" customWidth="1"/>
    <col min="112" max="119" width="18.7109375" customWidth="1"/>
    <col min="120" max="120" width="8.7109375" style="1" customWidth="1"/>
    <col min="121" max="171" width="11.7109375" style="1" customWidth="1"/>
    <col min="172" max="172" width="11.7109375" style="203" customWidth="1"/>
  </cols>
  <sheetData>
    <row r="1" spans="1:172" ht="50.1" customHeight="1" thickBot="1" x14ac:dyDescent="0.3">
      <c r="A1" s="112"/>
      <c r="B1" s="4" t="s">
        <v>20</v>
      </c>
      <c r="C1" s="4" t="s">
        <v>212</v>
      </c>
      <c r="D1" s="94" t="s">
        <v>230</v>
      </c>
      <c r="E1" s="4" t="s">
        <v>28</v>
      </c>
      <c r="F1" s="4" t="s">
        <v>29</v>
      </c>
      <c r="G1" s="4" t="s">
        <v>1</v>
      </c>
      <c r="H1" s="85" t="s">
        <v>3</v>
      </c>
      <c r="I1" s="4" t="s">
        <v>90</v>
      </c>
      <c r="J1" s="4" t="s">
        <v>21</v>
      </c>
      <c r="K1" s="4" t="s">
        <v>229</v>
      </c>
      <c r="L1" s="4" t="s">
        <v>119</v>
      </c>
      <c r="M1" s="30" t="s">
        <v>415</v>
      </c>
      <c r="N1" s="30" t="s">
        <v>416</v>
      </c>
      <c r="O1" s="30" t="s">
        <v>419</v>
      </c>
      <c r="P1" s="104" t="s">
        <v>239</v>
      </c>
      <c r="Q1" s="104" t="s">
        <v>236</v>
      </c>
      <c r="R1" s="105" t="s">
        <v>237</v>
      </c>
      <c r="S1" s="104" t="s">
        <v>238</v>
      </c>
      <c r="T1" s="221" t="s">
        <v>22</v>
      </c>
      <c r="U1" s="221" t="s">
        <v>65</v>
      </c>
      <c r="V1" s="221" t="s">
        <v>66</v>
      </c>
      <c r="W1" s="41" t="s">
        <v>779</v>
      </c>
      <c r="X1" s="41" t="s">
        <v>327</v>
      </c>
      <c r="Y1" s="379" t="s">
        <v>778</v>
      </c>
      <c r="Z1" s="379" t="s">
        <v>777</v>
      </c>
      <c r="AA1" s="41" t="s">
        <v>326</v>
      </c>
      <c r="AB1" s="41" t="s">
        <v>431</v>
      </c>
      <c r="AC1" s="383" t="s">
        <v>787</v>
      </c>
      <c r="AD1" s="383" t="s">
        <v>788</v>
      </c>
      <c r="AE1" s="391" t="s">
        <v>789</v>
      </c>
      <c r="AF1" s="40" t="s">
        <v>61</v>
      </c>
      <c r="AG1" s="40" t="s">
        <v>85</v>
      </c>
      <c r="AH1" s="171" t="s">
        <v>394</v>
      </c>
      <c r="AI1" s="141" t="s">
        <v>618</v>
      </c>
      <c r="AJ1" s="221" t="s">
        <v>633</v>
      </c>
      <c r="AK1" s="221" t="s">
        <v>316</v>
      </c>
      <c r="AL1" s="221" t="s">
        <v>240</v>
      </c>
      <c r="AM1" s="221" t="s">
        <v>719</v>
      </c>
      <c r="AN1" s="221" t="s">
        <v>720</v>
      </c>
      <c r="AO1" s="221" t="s">
        <v>721</v>
      </c>
      <c r="AP1" s="221" t="s">
        <v>722</v>
      </c>
      <c r="AQ1" s="46" t="s">
        <v>328</v>
      </c>
      <c r="AR1" s="46" t="s">
        <v>329</v>
      </c>
      <c r="AS1" s="46" t="s">
        <v>330</v>
      </c>
      <c r="AT1" s="46" t="s">
        <v>331</v>
      </c>
      <c r="AU1" s="46" t="s">
        <v>332</v>
      </c>
      <c r="AV1" s="46" t="s">
        <v>333</v>
      </c>
      <c r="AW1" s="46" t="s">
        <v>352</v>
      </c>
      <c r="AX1" s="46" t="s">
        <v>325</v>
      </c>
      <c r="AY1" s="98" t="s">
        <v>38</v>
      </c>
      <c r="AZ1" s="98" t="s">
        <v>412</v>
      </c>
      <c r="BA1" s="98" t="s">
        <v>411</v>
      </c>
      <c r="BB1" s="45" t="s">
        <v>484</v>
      </c>
      <c r="BC1" s="45" t="s">
        <v>485</v>
      </c>
      <c r="BD1" s="161" t="s">
        <v>382</v>
      </c>
      <c r="BE1" s="161" t="s">
        <v>339</v>
      </c>
      <c r="BF1" s="51" t="s">
        <v>307</v>
      </c>
      <c r="BG1" s="51" t="s">
        <v>139</v>
      </c>
      <c r="BH1" s="90" t="s">
        <v>180</v>
      </c>
      <c r="BI1" s="90" t="s">
        <v>217</v>
      </c>
      <c r="BJ1" s="90" t="s">
        <v>110</v>
      </c>
      <c r="BK1" s="90" t="s">
        <v>504</v>
      </c>
      <c r="BL1" s="90" t="s">
        <v>245</v>
      </c>
      <c r="BM1" s="90" t="s">
        <v>250</v>
      </c>
      <c r="BN1" s="90" t="s">
        <v>70</v>
      </c>
      <c r="BO1" s="22" t="s">
        <v>69</v>
      </c>
      <c r="BP1" s="22" t="s">
        <v>486</v>
      </c>
      <c r="BQ1" s="22" t="s">
        <v>97</v>
      </c>
      <c r="BR1" s="22" t="s">
        <v>101</v>
      </c>
      <c r="BS1" s="95" t="s">
        <v>223</v>
      </c>
      <c r="BT1" s="95" t="s">
        <v>224</v>
      </c>
      <c r="BU1" s="95" t="s">
        <v>225</v>
      </c>
      <c r="BV1" s="95" t="s">
        <v>226</v>
      </c>
      <c r="BW1" s="95" t="s">
        <v>227</v>
      </c>
      <c r="BX1" s="22" t="s">
        <v>67</v>
      </c>
      <c r="BY1" s="22" t="s">
        <v>64</v>
      </c>
      <c r="BZ1" s="23" t="s">
        <v>68</v>
      </c>
      <c r="CA1" s="22" t="s">
        <v>98</v>
      </c>
      <c r="CB1" s="22" t="s">
        <v>100</v>
      </c>
      <c r="CC1" s="22" t="s">
        <v>99</v>
      </c>
      <c r="CD1" s="22" t="s">
        <v>96</v>
      </c>
      <c r="CE1" s="51" t="s">
        <v>459</v>
      </c>
      <c r="CF1" s="51" t="s">
        <v>460</v>
      </c>
      <c r="CG1" s="26" t="s">
        <v>385</v>
      </c>
      <c r="CH1" s="26" t="s">
        <v>386</v>
      </c>
      <c r="CI1" s="4" t="s">
        <v>387</v>
      </c>
      <c r="CJ1" s="4" t="s">
        <v>77</v>
      </c>
      <c r="CK1" s="4" t="s">
        <v>46</v>
      </c>
      <c r="CL1" s="4" t="s">
        <v>78</v>
      </c>
      <c r="CM1" s="4" t="s">
        <v>27</v>
      </c>
      <c r="CN1" s="4" t="s">
        <v>76</v>
      </c>
      <c r="CO1" s="25" t="s">
        <v>335</v>
      </c>
      <c r="CP1" s="25" t="s">
        <v>338</v>
      </c>
      <c r="CQ1" s="25" t="s">
        <v>336</v>
      </c>
      <c r="CR1" s="142" t="s">
        <v>295</v>
      </c>
      <c r="CS1" s="25" t="s">
        <v>337</v>
      </c>
      <c r="CT1" s="14" t="s">
        <v>150</v>
      </c>
      <c r="CU1" s="15" t="s">
        <v>256</v>
      </c>
      <c r="CV1" s="15" t="s">
        <v>255</v>
      </c>
      <c r="CW1" s="52" t="s">
        <v>218</v>
      </c>
      <c r="CX1" s="52" t="s">
        <v>257</v>
      </c>
      <c r="CY1" s="34" t="s">
        <v>219</v>
      </c>
      <c r="CZ1" s="108" t="s">
        <v>389</v>
      </c>
      <c r="DA1" s="108" t="s">
        <v>74</v>
      </c>
      <c r="DB1" s="40" t="s">
        <v>428</v>
      </c>
      <c r="DC1" s="40" t="s">
        <v>106</v>
      </c>
      <c r="DD1" s="40" t="s">
        <v>438</v>
      </c>
      <c r="DE1" s="171" t="s">
        <v>439</v>
      </c>
      <c r="DF1" s="17" t="s">
        <v>437</v>
      </c>
      <c r="DG1" s="46" t="s">
        <v>444</v>
      </c>
      <c r="DH1" s="162" t="s">
        <v>462</v>
      </c>
      <c r="DI1" s="162" t="s">
        <v>390</v>
      </c>
      <c r="DJ1" s="47" t="s">
        <v>18</v>
      </c>
      <c r="DK1" s="47" t="s">
        <v>80</v>
      </c>
      <c r="DL1" s="43" t="s">
        <v>409</v>
      </c>
      <c r="DM1" s="43" t="s">
        <v>410</v>
      </c>
      <c r="DN1" s="43" t="s">
        <v>178</v>
      </c>
      <c r="DO1" s="118" t="s">
        <v>25</v>
      </c>
      <c r="DP1" s="289" t="s">
        <v>14</v>
      </c>
      <c r="DQ1" s="290" t="s">
        <v>584</v>
      </c>
      <c r="DR1" s="290" t="s">
        <v>20</v>
      </c>
      <c r="DS1" s="290" t="s">
        <v>1</v>
      </c>
      <c r="DT1" s="290" t="s">
        <v>0</v>
      </c>
      <c r="DU1" s="290" t="s">
        <v>29</v>
      </c>
      <c r="DV1" s="290" t="s">
        <v>40</v>
      </c>
      <c r="DW1" s="290" t="s">
        <v>2</v>
      </c>
      <c r="DX1" s="290" t="s">
        <v>3</v>
      </c>
      <c r="DY1" s="290" t="s">
        <v>88</v>
      </c>
      <c r="DZ1" s="290" t="s">
        <v>585</v>
      </c>
      <c r="EA1" s="290" t="s">
        <v>608</v>
      </c>
      <c r="EB1" s="290" t="s">
        <v>30</v>
      </c>
      <c r="EC1" s="290" t="s">
        <v>587</v>
      </c>
      <c r="ED1" s="290" t="s">
        <v>609</v>
      </c>
      <c r="EE1" s="290" t="s">
        <v>610</v>
      </c>
      <c r="EF1" s="290" t="s">
        <v>63</v>
      </c>
      <c r="EG1" s="290" t="s">
        <v>262</v>
      </c>
      <c r="EH1" s="290" t="s">
        <v>4</v>
      </c>
      <c r="EI1" s="290" t="s">
        <v>619</v>
      </c>
      <c r="EJ1" s="290" t="s">
        <v>177</v>
      </c>
      <c r="EK1" s="290" t="s">
        <v>7</v>
      </c>
      <c r="EL1" s="290" t="s">
        <v>164</v>
      </c>
      <c r="EM1" s="290" t="s">
        <v>603</v>
      </c>
      <c r="EN1" s="290" t="s">
        <v>604</v>
      </c>
      <c r="EO1" s="290" t="s">
        <v>11</v>
      </c>
      <c r="EP1" s="290" t="s">
        <v>17</v>
      </c>
      <c r="EQ1" s="290" t="s">
        <v>185</v>
      </c>
      <c r="ER1" s="290" t="s">
        <v>15</v>
      </c>
      <c r="ES1" s="290" t="s">
        <v>16</v>
      </c>
      <c r="ET1" s="290" t="s">
        <v>606</v>
      </c>
      <c r="EU1" s="290" t="s">
        <v>605</v>
      </c>
      <c r="EV1" s="290" t="s">
        <v>10</v>
      </c>
      <c r="EW1" s="290" t="s">
        <v>8</v>
      </c>
      <c r="EX1" s="290" t="s">
        <v>9</v>
      </c>
      <c r="EY1" s="290" t="s">
        <v>187</v>
      </c>
      <c r="EZ1" s="290" t="s">
        <v>188</v>
      </c>
      <c r="FA1" s="290" t="s">
        <v>103</v>
      </c>
      <c r="FB1" s="290" t="s">
        <v>595</v>
      </c>
      <c r="FC1" s="290" t="s">
        <v>48</v>
      </c>
      <c r="FD1" s="290" t="s">
        <v>251</v>
      </c>
      <c r="FE1" s="290" t="s">
        <v>41</v>
      </c>
      <c r="FF1" s="290" t="s">
        <v>234</v>
      </c>
      <c r="FG1" s="290" t="s">
        <v>49</v>
      </c>
      <c r="FH1" s="290" t="s">
        <v>163</v>
      </c>
      <c r="FI1" s="290" t="s">
        <v>616</v>
      </c>
      <c r="FJ1" s="290" t="s">
        <v>92</v>
      </c>
      <c r="FK1" s="290" t="s">
        <v>93</v>
      </c>
      <c r="FL1" s="290" t="s">
        <v>611</v>
      </c>
      <c r="FM1" s="290" t="s">
        <v>5</v>
      </c>
      <c r="FN1" s="290" t="s">
        <v>102</v>
      </c>
      <c r="FO1" s="290" t="s">
        <v>18</v>
      </c>
      <c r="FP1" s="291" t="s">
        <v>600</v>
      </c>
    </row>
    <row r="2" spans="1:172" ht="24.95" customHeight="1" thickBot="1" x14ac:dyDescent="0.3">
      <c r="A2" s="29" t="str">
        <f t="shared" ref="A2:A11" si="0">ROW()-1 &amp; "º"</f>
        <v>1º</v>
      </c>
      <c r="B2" s="69" t="str">
        <f t="shared" ref="B2:B11" si="1">DR2</f>
        <v>Aimar</v>
      </c>
      <c r="C2" s="86" t="str">
        <f t="shared" ref="C2:C11" si="2">DQ2</f>
        <v>ESP</v>
      </c>
      <c r="D2" s="99" t="str">
        <f t="shared" ref="D2:D11" si="3">DV2</f>
        <v>Pé Direito</v>
      </c>
      <c r="E2" s="28" t="str">
        <f t="shared" ref="E2:E11" si="4">DT2</f>
        <v>Osasuna</v>
      </c>
      <c r="F2" s="166">
        <f t="shared" ref="F2:F11" si="5">IFERROR(SUBSTITUTE(DU2," cm","")/100,0)</f>
        <v>1.77</v>
      </c>
      <c r="G2" s="36">
        <f t="shared" ref="G2:G11" si="6">DS2</f>
        <v>24</v>
      </c>
      <c r="H2" s="325" t="str">
        <f t="shared" ref="H2:H11" si="7">DX2</f>
        <v>240m € p/m</v>
      </c>
      <c r="I2" s="35">
        <f t="shared" ref="I2:I11" si="8">IF(DY2="-", "Sem Data Final", DY2)</f>
        <v>48029</v>
      </c>
      <c r="J2" s="28" t="str">
        <f t="shared" ref="J2:J11" si="9">DW2</f>
        <v>60M € - 74M €</v>
      </c>
      <c r="K2" s="96">
        <f t="shared" ref="K2:K11" si="10">AVERAGE(L:L)</f>
        <v>15.507777777777779</v>
      </c>
      <c r="L2" s="144">
        <f t="shared" ref="L2:L11" si="11">IFERROR(DZ2/90,0)</f>
        <v>14.477777777777778</v>
      </c>
      <c r="M2" s="144">
        <f t="shared" ref="M2:M11" si="12">IF(ISERROR(FIND("(",EA2)), VALUE(EA2), VALUE(LEFT(EA2,FIND("(",EA2)-2)) + VALUE(MID(EA2,FIND("(",EA2)+1,FIND(")",EA2)-FIND("(",EA2)-1)))</f>
        <v>16</v>
      </c>
      <c r="N2" s="144">
        <f t="shared" ref="N2:N11" si="13">IFERROR(DZ2/M2,0)</f>
        <v>81.4375</v>
      </c>
      <c r="O2" s="184">
        <f t="shared" ref="O2:O11" si="14">IFERROR(IF(ISERROR(FIND("(",DY2)), "100%", TEXT(VALUE(LEFT(DY2,FIND("(",DY2)-2)) / (VALUE(LEFT(DY2,FIND("(",DY2)-2)) + VALUE(MID(DY2,FIND("(",DY2)+1,FIND(")",DY2)-FIND("(",DY2)-1))),"0%")),0)*1</f>
        <v>1</v>
      </c>
      <c r="P2" s="6">
        <f t="shared" ref="P2:P11" si="15">FM2</f>
        <v>3</v>
      </c>
      <c r="Q2" s="6">
        <f t="shared" ref="Q2:Q11" si="16">FN2</f>
        <v>2</v>
      </c>
      <c r="R2" s="6">
        <f t="shared" ref="R2:R11" si="17">IFERROR(P2-Q2,0)</f>
        <v>1</v>
      </c>
      <c r="S2" s="21">
        <f t="shared" ref="S2:S11" si="18">IFERROR((Q2*1)/P2,0.0000001)</f>
        <v>0.66666666666666663</v>
      </c>
      <c r="T2" s="2">
        <f t="shared" ref="T2:T11" si="19">ED2</f>
        <v>5</v>
      </c>
      <c r="U2" s="2">
        <f t="shared" ref="U2:U11" si="20">EE2</f>
        <v>1</v>
      </c>
      <c r="V2" s="6">
        <f t="shared" ref="V2:V11" si="21">IFERROR(T2+U2,0)</f>
        <v>6</v>
      </c>
      <c r="W2" s="6">
        <f>EW2</f>
        <v>39</v>
      </c>
      <c r="X2" s="5">
        <f>W2/L2</f>
        <v>2.6937835763622409</v>
      </c>
      <c r="Y2" s="6">
        <f>EW2-EX2</f>
        <v>24</v>
      </c>
      <c r="Z2" s="5">
        <f>Y2/L2</f>
        <v>1.6577129700690714</v>
      </c>
      <c r="AA2" s="6">
        <f>EX2</f>
        <v>15</v>
      </c>
      <c r="AB2" s="5">
        <f>AA2/L2</f>
        <v>1.0360706062931695</v>
      </c>
      <c r="AC2" s="6">
        <f>EW2-ED2</f>
        <v>34</v>
      </c>
      <c r="AD2" s="5">
        <f>AC2/L2</f>
        <v>2.3484267075978509</v>
      </c>
      <c r="AE2" s="21">
        <f>EX2/EW2</f>
        <v>0.38461538461538464</v>
      </c>
      <c r="AF2" s="5">
        <f>IFERROR((EW2-FM2)/(ED2-FN2),100)</f>
        <v>12</v>
      </c>
      <c r="AG2" s="5">
        <f>IFERROR((EX2-FM2)/(ED2-FN2),0)</f>
        <v>4</v>
      </c>
      <c r="AH2" s="107">
        <f>IFERROR((ED2-FN2)/(EW2-FM2),0)</f>
        <v>8.3333333333333329E-2</v>
      </c>
      <c r="AI2" s="318">
        <f t="shared" ref="AI2:AI11" si="22">ED2/EW2</f>
        <v>0.12820512820512819</v>
      </c>
      <c r="AJ2" s="354">
        <f t="shared" ref="AJ2:AJ11" si="23">ED2-AK2-AL2</f>
        <v>2</v>
      </c>
      <c r="AK2" s="353">
        <f t="shared" ref="AK2:AK11" si="24">EI2</f>
        <v>1</v>
      </c>
      <c r="AL2" s="354">
        <f t="shared" ref="AL2:AL11" si="25">FN2</f>
        <v>2</v>
      </c>
      <c r="AM2" s="357">
        <f t="shared" ref="AM2:AM11" si="26">IFERROR(AK2/L2,0)</f>
        <v>6.9071373752877974E-2</v>
      </c>
      <c r="AN2" s="377">
        <f t="shared" ref="AN2:AN11" si="27">IFERROR(FI2*L2,0)</f>
        <v>14.477777777777778</v>
      </c>
      <c r="AO2" s="357">
        <f t="shared" ref="AO2:AO11" si="28">IFERROR(FI2,0)</f>
        <v>1</v>
      </c>
      <c r="AP2" s="378">
        <f t="shared" ref="AP2:AP11" si="29">IFERROR(MIN(AM2/AO2,1),0)</f>
        <v>6.9071373752877974E-2</v>
      </c>
      <c r="AQ2" s="5">
        <f t="shared" ref="AQ2:AQ11" si="30">IFERROR(SUBSTITUTE(EK2,".","," )*1,0)</f>
        <v>6.75</v>
      </c>
      <c r="AR2" s="5">
        <f t="shared" ref="AR2:AR11" si="31">IFERROR(AQ2/L2,0)</f>
        <v>0.46623177283192629</v>
      </c>
      <c r="AS2" s="5">
        <f t="shared" ref="AS2:AS11" si="32">(AQ2)-(FM2*0.79)</f>
        <v>4.38</v>
      </c>
      <c r="AT2" s="5">
        <f t="shared" ref="AT2:AT11" si="33">IFERROR((AS2/L2),0)</f>
        <v>0.30253261703760553</v>
      </c>
      <c r="AU2" s="5">
        <f t="shared" ref="AU2:AU11" si="34">IFERROR(SUBSTITUTE(EL2,".","," )*1,0)</f>
        <v>2.04</v>
      </c>
      <c r="AV2" s="5">
        <f t="shared" ref="AV2:AV11" si="35">IFERROR(AU2/L2,0)</f>
        <v>0.14090560245587108</v>
      </c>
      <c r="AW2" s="5">
        <f t="shared" ref="AW2:AW11" si="36">AU2+AS2</f>
        <v>6.42</v>
      </c>
      <c r="AX2" s="5">
        <f t="shared" ref="AX2:AX11" si="37">IFERROR(AW2/L2,0)</f>
        <v>0.44343821949347656</v>
      </c>
      <c r="AY2" s="2">
        <f t="shared" ref="AY2:AY11" si="38">EB2</f>
        <v>3</v>
      </c>
      <c r="AZ2" s="5">
        <f t="shared" ref="AZ2:AZ11" si="39">IFERROR(DZ2/AY2,5000)</f>
        <v>434.33333333333331</v>
      </c>
      <c r="BA2" s="21">
        <f t="shared" ref="BA2:BA11" si="40">IFERROR((AY2*1)/L2,0)</f>
        <v>0.20721412125863392</v>
      </c>
      <c r="BB2" s="208">
        <f t="shared" ref="BB2:BB11" si="41">IFERROR(FB2+FE2+FC2+(FH2*L2),0)</f>
        <v>176.40444444444444</v>
      </c>
      <c r="BC2" s="5">
        <f t="shared" ref="BC2:BC11" si="42">IFERROR(BB2/L2,0)</f>
        <v>12.18449731389102</v>
      </c>
      <c r="BD2" s="6">
        <f t="shared" ref="BD2:BD11" si="43">IFERROR(FG2+FE2+FD2+FF2+(FC2*0.5),0)</f>
        <v>45.5</v>
      </c>
      <c r="BE2" s="5">
        <f t="shared" ref="BE2:BE11" si="44">IFERROR(BD2/L2,0)</f>
        <v>3.1427475057559477</v>
      </c>
      <c r="BF2" s="6">
        <f t="shared" ref="BF2:BF11" si="45">IFERROR(FB2+EZ2+(FC2*0.5),0)</f>
        <v>30.5</v>
      </c>
      <c r="BG2" s="5">
        <f t="shared" ref="BG2:BG11" si="46">IFERROR(BF2/L2,0)</f>
        <v>2.1066768994627783</v>
      </c>
      <c r="BH2" s="6">
        <f t="shared" ref="BH2:BH11" si="47">FA2+EM2</f>
        <v>27</v>
      </c>
      <c r="BI2" s="5">
        <f t="shared" ref="BI2:BI11" si="48">IFERROR(BH2/L2,0)</f>
        <v>1.8649270913277052</v>
      </c>
      <c r="BJ2" s="6">
        <f t="shared" ref="BJ2:BJ11" si="49">FB2</f>
        <v>12</v>
      </c>
      <c r="BK2" s="5">
        <f t="shared" ref="BK2:BK11" si="50">BJ2/L2</f>
        <v>0.82885648503453568</v>
      </c>
      <c r="BL2" s="6">
        <f t="shared" ref="BL2:BL11" si="51">IFERROR(BH2-BJ2,0)</f>
        <v>15</v>
      </c>
      <c r="BM2" s="5">
        <f t="shared" ref="BM2:BM11" si="52">BL2/L2</f>
        <v>1.0360706062931695</v>
      </c>
      <c r="BN2" s="20">
        <f t="shared" ref="BN2:BN11" si="53">IFERROR(BJ2/BH2,0)</f>
        <v>0.44444444444444442</v>
      </c>
      <c r="BO2" s="2">
        <f t="shared" ref="BO2:BO11" si="54">EM2</f>
        <v>9</v>
      </c>
      <c r="BP2" s="5">
        <f t="shared" ref="BP2:BP11" si="55">IFERROR(BO2/L2,0)</f>
        <v>0.62164236377590176</v>
      </c>
      <c r="BQ2" s="2">
        <f t="shared" ref="BQ2:BQ11" si="56">IFERROR(BO2-(BX2+BY2),0)</f>
        <v>9</v>
      </c>
      <c r="BR2" s="12">
        <f t="shared" ref="BR2:BR11" si="57">IFERROR((BZ2*1)/BO2,0)</f>
        <v>0</v>
      </c>
      <c r="BS2" s="6">
        <f t="shared" ref="BS2:BS11" si="58">EY2</f>
        <v>115</v>
      </c>
      <c r="BT2" s="5">
        <f t="shared" ref="BT2:BT11" si="59">IFERROR(BS2/L2,0)</f>
        <v>7.9432079815809669</v>
      </c>
      <c r="BU2" s="6">
        <f t="shared" ref="BU2:BU11" si="60">EZ2</f>
        <v>18</v>
      </c>
      <c r="BV2" s="5">
        <f t="shared" ref="BV2:BV11" si="61">IFERROR(BU2/L2,0)</f>
        <v>1.2432847275518035</v>
      </c>
      <c r="BW2" s="21">
        <f t="shared" ref="BW2:BW11" si="62">IFERROR((BU2*1)/BS2,0)</f>
        <v>0.15652173913043479</v>
      </c>
      <c r="BX2" s="2">
        <f t="shared" ref="BX2:BX11" si="63">EF2</f>
        <v>0</v>
      </c>
      <c r="BY2" s="2">
        <f t="shared" ref="BY2:BY11" si="64">EG2</f>
        <v>0</v>
      </c>
      <c r="BZ2" s="2">
        <f t="shared" ref="BZ2:BZ11" si="65">IFERROR(EF2+EG2,0)</f>
        <v>0</v>
      </c>
      <c r="CA2" s="2">
        <f t="shared" ref="CA2:CA11" si="66">IFERROR((BO2+FC2+FB2),0)</f>
        <v>22</v>
      </c>
      <c r="CB2" s="2">
        <f t="shared" ref="CB2:CB11" si="67">IFERROR(CA2-BO2,0)</f>
        <v>13</v>
      </c>
      <c r="CC2" s="21">
        <f t="shared" ref="CC2:CC11" si="68">IFERROR((CB2*1)/CA2,0)</f>
        <v>0.59090909090909094</v>
      </c>
      <c r="CD2" s="21">
        <f t="shared" ref="CD2:CD11" si="69">IFERROR((BQ2)/BO2,0)</f>
        <v>1</v>
      </c>
      <c r="CE2" s="6">
        <f t="shared" ref="CE2:CE11" si="70">FC2</f>
        <v>1</v>
      </c>
      <c r="CF2" s="5">
        <f t="shared" ref="CF2:CF11" si="71">IFERROR(CE2/L2,0)</f>
        <v>6.9071373752877974E-2</v>
      </c>
      <c r="CG2" s="178">
        <f t="shared" ref="CG2:CG11" si="72">FJ2</f>
        <v>16</v>
      </c>
      <c r="CH2" s="178">
        <f t="shared" ref="CH2:CH11" si="73">FK2</f>
        <v>5</v>
      </c>
      <c r="CI2" s="179">
        <f t="shared" ref="CI2:CI11" si="74">IFERROR((CH2*1)/CG2,0)</f>
        <v>0.3125</v>
      </c>
      <c r="CJ2" s="6">
        <f t="shared" ref="CJ2:CJ11" si="75">ER2</f>
        <v>785</v>
      </c>
      <c r="CK2" s="6">
        <f t="shared" ref="CK2:CK11" si="76">ES2</f>
        <v>682</v>
      </c>
      <c r="CL2" s="5">
        <f t="shared" ref="CL2:CL11" si="77">IFERROR((CK2-CM2)/(DZ2/90),0)</f>
        <v>39.99232540291635</v>
      </c>
      <c r="CM2" s="6">
        <f t="shared" ref="CM2:CM11" si="78">IFERROR(CJ2-CK2,0)</f>
        <v>103</v>
      </c>
      <c r="CN2" s="21">
        <f t="shared" ref="CN2:CN11" si="79">IFERROR(CK2/CJ2,0)</f>
        <v>0.86878980891719748</v>
      </c>
      <c r="CO2" s="6">
        <f t="shared" ref="CO2:CO11" si="80">EO2</f>
        <v>40</v>
      </c>
      <c r="CP2" s="5">
        <f t="shared" ref="CP2:CP11" si="81">IFERROR(CO2/L2,0)</f>
        <v>2.7628549501151189</v>
      </c>
      <c r="CQ2" s="6">
        <f t="shared" ref="CQ2:CQ11" si="82">EP2</f>
        <v>12</v>
      </c>
      <c r="CR2" s="6">
        <f t="shared" ref="CR2:CR11" si="83">IFERROR(EO2-EP2,0)</f>
        <v>28</v>
      </c>
      <c r="CS2" s="20">
        <f t="shared" ref="CS2:CS11" si="84">IFERROR((EP2*1)/EO2,0)</f>
        <v>0.3</v>
      </c>
      <c r="CT2" s="5">
        <f t="shared" ref="CT2:CT11" si="85">IFERROR((ED2+EE2+EN2+FB2+FE2+FC2+EO2+EV2+EH2+ET2+ER2)/L2,0)</f>
        <v>66.653875671527246</v>
      </c>
      <c r="CU2" s="6">
        <f t="shared" ref="CU2:CU11" si="86">IFERROR((AU2+BH2+CA2+CJ2+CO2+EW2+EY2+FJ2),0)</f>
        <v>1046.04</v>
      </c>
      <c r="CV2" s="5">
        <f t="shared" ref="CV2:CV11" si="87">IFERROR(CU2/L2,0)</f>
        <v>72.251419800460468</v>
      </c>
      <c r="CW2" s="6">
        <f t="shared" ref="CW2:CW11" si="88">IFERROR((T2*1.5)+(BJ2+CB2+CK2+CQ2+EZ2+FK2)+(EX2*0.75)+(ED2*0.75),0)</f>
        <v>764.5</v>
      </c>
      <c r="CX2" s="5">
        <f t="shared" ref="CX2:CX11" si="89">IFERROR(CW2/L2,0)</f>
        <v>52.805065234075208</v>
      </c>
      <c r="CY2" s="21">
        <f t="shared" ref="CY2:CY11" si="90">IFERROR((CW2*1)/CU2,0)</f>
        <v>0.73085159267332034</v>
      </c>
      <c r="CZ2" s="6">
        <f t="shared" ref="CZ2:CZ11" si="91">IFERROR(ET2+EH2+AU2+FK2,0)</f>
        <v>44.04</v>
      </c>
      <c r="DA2" s="5">
        <f t="shared" ref="DA2:DA11" si="92">IFERROR(CZ2/L2,0)</f>
        <v>3.0419033000767457</v>
      </c>
      <c r="DB2" s="6">
        <f t="shared" ref="DB2:DB11" si="93">ET2</f>
        <v>29</v>
      </c>
      <c r="DC2" s="5">
        <f t="shared" ref="DC2:DC11" si="94">IFERROR(DB2/L2,0)</f>
        <v>2.0030698388334613</v>
      </c>
      <c r="DD2" s="5">
        <f t="shared" ref="DD2:DD11" si="95">IFERROR(ET2/EE2,25)</f>
        <v>29</v>
      </c>
      <c r="DE2" s="21">
        <f t="shared" ref="DE2:DE11" si="96">IFERROR(EE2/ET2,0)</f>
        <v>3.4482758620689655E-2</v>
      </c>
      <c r="DF2" s="5">
        <f t="shared" ref="DF2:DF11" si="97">IFERROR(AU2/ET2,0)</f>
        <v>7.0344827586206901E-2</v>
      </c>
      <c r="DG2" s="315">
        <f t="shared" ref="DG2:DG11" si="98">IFERROR(AU2/ET2,0)</f>
        <v>7.0344827586206901E-2</v>
      </c>
      <c r="DH2" s="6">
        <f t="shared" ref="DH2:DH11" si="99">IFERROR(EW2+ET2+EH2+EV2+FK2,0)</f>
        <v>115</v>
      </c>
      <c r="DI2" s="5">
        <f t="shared" ref="DI2:DI11" si="100">IFERROR(DH2/L2,0)</f>
        <v>7.9432079815809669</v>
      </c>
      <c r="DJ2" s="152">
        <f t="shared" ref="DJ2:DJ11" si="101">IFERROR(VALUE(SUBSTITUTE(FO2, " km", "")),0)</f>
        <v>183.8</v>
      </c>
      <c r="DK2" s="5">
        <f t="shared" ref="DK2:DK11" si="102">IFERROR(DJ2/L2,0)</f>
        <v>12.695318495778972</v>
      </c>
      <c r="DL2" s="180">
        <f t="shared" ref="DL2:DL11" si="103">IFERROR((EW2-EX2)+(ER2-ES2),0)</f>
        <v>127</v>
      </c>
      <c r="DM2" s="117">
        <f t="shared" ref="DM2:DM11" si="104">IFERROR(DL2/L2,0)</f>
        <v>8.7720644666155021</v>
      </c>
      <c r="DN2" s="117">
        <f t="shared" ref="DN2:DN11" si="105">EJ2</f>
        <v>15.1</v>
      </c>
      <c r="DO2" s="117">
        <f t="shared" ref="DO2:DO11" si="106">IFERROR(VALUE(SUBSTITUTE(FP2, ".", ",")),0)</f>
        <v>7.17</v>
      </c>
      <c r="DP2" s="296"/>
      <c r="DQ2" s="292" t="s">
        <v>646</v>
      </c>
      <c r="DR2" s="292" t="s">
        <v>653</v>
      </c>
      <c r="DS2" s="292">
        <v>24</v>
      </c>
      <c r="DT2" s="292" t="s">
        <v>652</v>
      </c>
      <c r="DU2" s="292" t="s">
        <v>636</v>
      </c>
      <c r="DV2" s="292" t="s">
        <v>601</v>
      </c>
      <c r="DW2" s="292" t="s">
        <v>690</v>
      </c>
      <c r="DX2" s="292" t="s">
        <v>691</v>
      </c>
      <c r="DY2" s="293">
        <v>48029</v>
      </c>
      <c r="DZ2" s="292">
        <v>1303</v>
      </c>
      <c r="EA2" s="292" t="s">
        <v>685</v>
      </c>
      <c r="EB2" s="292">
        <v>3</v>
      </c>
      <c r="EC2" s="292">
        <v>0</v>
      </c>
      <c r="ED2" s="292">
        <v>5</v>
      </c>
      <c r="EE2" s="292">
        <v>1</v>
      </c>
      <c r="EF2" s="292">
        <v>0</v>
      </c>
      <c r="EG2" s="292">
        <v>0</v>
      </c>
      <c r="EH2" s="292">
        <v>8</v>
      </c>
      <c r="EI2" s="292">
        <v>1</v>
      </c>
      <c r="EJ2" s="292">
        <v>15.1</v>
      </c>
      <c r="EK2" s="292" t="s">
        <v>713</v>
      </c>
      <c r="EL2" s="292" t="s">
        <v>714</v>
      </c>
      <c r="EM2" s="292">
        <v>9</v>
      </c>
      <c r="EN2" s="292">
        <v>14</v>
      </c>
      <c r="EO2" s="292">
        <v>40</v>
      </c>
      <c r="EP2" s="292">
        <v>12</v>
      </c>
      <c r="EQ2" s="292">
        <v>0</v>
      </c>
      <c r="ER2" s="292">
        <v>785</v>
      </c>
      <c r="ES2" s="292">
        <v>682</v>
      </c>
      <c r="ET2" s="292">
        <v>29</v>
      </c>
      <c r="EU2" s="292">
        <v>50</v>
      </c>
      <c r="EV2" s="292">
        <v>34</v>
      </c>
      <c r="EW2" s="292">
        <v>39</v>
      </c>
      <c r="EX2" s="292">
        <v>15</v>
      </c>
      <c r="EY2" s="292">
        <v>115</v>
      </c>
      <c r="EZ2" s="292">
        <v>18</v>
      </c>
      <c r="FA2" s="292">
        <v>18</v>
      </c>
      <c r="FB2" s="292">
        <v>12</v>
      </c>
      <c r="FC2" s="292">
        <v>1</v>
      </c>
      <c r="FD2" s="292">
        <v>2</v>
      </c>
      <c r="FE2" s="292">
        <v>36</v>
      </c>
      <c r="FF2" s="292">
        <v>0</v>
      </c>
      <c r="FG2" s="292">
        <v>7</v>
      </c>
      <c r="FH2" s="292">
        <v>8.8000000000000007</v>
      </c>
      <c r="FI2" s="292">
        <v>1</v>
      </c>
      <c r="FJ2" s="292">
        <v>16</v>
      </c>
      <c r="FK2" s="292">
        <v>5</v>
      </c>
      <c r="FL2" s="292">
        <v>3</v>
      </c>
      <c r="FM2" s="292">
        <v>3</v>
      </c>
      <c r="FN2" s="292">
        <v>2</v>
      </c>
      <c r="FO2" s="292" t="s">
        <v>692</v>
      </c>
      <c r="FP2" s="297">
        <v>7.17</v>
      </c>
    </row>
    <row r="3" spans="1:172" ht="24.95" customHeight="1" thickBot="1" x14ac:dyDescent="0.3">
      <c r="A3" s="29" t="str">
        <f t="shared" si="0"/>
        <v>2º</v>
      </c>
      <c r="B3" s="69" t="str">
        <f t="shared" si="1"/>
        <v>Andy Escudero</v>
      </c>
      <c r="C3" s="86" t="str">
        <f t="shared" si="2"/>
        <v>ESP</v>
      </c>
      <c r="D3" s="99" t="str">
        <f t="shared" si="3"/>
        <v>Pé Esquerdo</v>
      </c>
      <c r="E3" s="28" t="str">
        <f t="shared" si="4"/>
        <v>Andorra</v>
      </c>
      <c r="F3" s="166">
        <f t="shared" si="5"/>
        <v>1.76</v>
      </c>
      <c r="G3" s="36">
        <f t="shared" si="6"/>
        <v>27</v>
      </c>
      <c r="H3" s="325" t="str">
        <f t="shared" si="7"/>
        <v>17,25m € p/m</v>
      </c>
      <c r="I3" s="35">
        <f t="shared" si="8"/>
        <v>47299</v>
      </c>
      <c r="J3" s="28" t="str">
        <f t="shared" si="9"/>
        <v>120m € - 1,2M €</v>
      </c>
      <c r="K3" s="96">
        <f t="shared" si="10"/>
        <v>15.507777777777779</v>
      </c>
      <c r="L3" s="144">
        <f t="shared" si="11"/>
        <v>13.722222222222221</v>
      </c>
      <c r="M3" s="144">
        <f t="shared" si="12"/>
        <v>17</v>
      </c>
      <c r="N3" s="144">
        <f t="shared" si="13"/>
        <v>72.647058823529406</v>
      </c>
      <c r="O3" s="184">
        <f t="shared" si="14"/>
        <v>1</v>
      </c>
      <c r="P3" s="6">
        <f t="shared" si="15"/>
        <v>0</v>
      </c>
      <c r="Q3" s="6">
        <f t="shared" si="16"/>
        <v>0</v>
      </c>
      <c r="R3" s="6">
        <f t="shared" si="17"/>
        <v>0</v>
      </c>
      <c r="S3" s="21">
        <f t="shared" si="18"/>
        <v>9.9999999999999995E-8</v>
      </c>
      <c r="T3" s="2">
        <f t="shared" si="19"/>
        <v>4</v>
      </c>
      <c r="U3" s="2">
        <f t="shared" si="20"/>
        <v>1</v>
      </c>
      <c r="V3" s="6">
        <f t="shared" si="21"/>
        <v>5</v>
      </c>
      <c r="W3" s="6">
        <f t="shared" ref="W3:W11" si="107">EW3</f>
        <v>18</v>
      </c>
      <c r="X3" s="5">
        <f t="shared" ref="X3:X11" si="108">W3/L3</f>
        <v>1.3117408906882593</v>
      </c>
      <c r="Y3" s="6">
        <f t="shared" ref="Y3:Y11" si="109">EW3-EX3</f>
        <v>7</v>
      </c>
      <c r="Z3" s="5">
        <f t="shared" ref="Z3:Z11" si="110">Y3/L3</f>
        <v>0.51012145748987858</v>
      </c>
      <c r="AA3" s="6">
        <f t="shared" ref="AA3:AA11" si="111">EX3</f>
        <v>11</v>
      </c>
      <c r="AB3" s="5">
        <f t="shared" ref="AB3:AB11" si="112">AA3/L3</f>
        <v>0.80161943319838058</v>
      </c>
      <c r="AC3" s="6">
        <f t="shared" ref="AC3:AC11" si="113">EW3-ED3</f>
        <v>14</v>
      </c>
      <c r="AD3" s="5">
        <f t="shared" ref="AD3:AD11" si="114">AC3/L3</f>
        <v>1.0202429149797572</v>
      </c>
      <c r="AE3" s="21">
        <f t="shared" ref="AE3:AE11" si="115">EX3/EW3</f>
        <v>0.61111111111111116</v>
      </c>
      <c r="AF3" s="5">
        <f t="shared" ref="AF3:AF11" si="116">IFERROR((EW3-FM3)/(ED3-FN3),100)</f>
        <v>4.5</v>
      </c>
      <c r="AG3" s="5">
        <f t="shared" ref="AG3:AG11" si="117">IFERROR((EX3-FM3)/(ED3-FN3),0)</f>
        <v>2.75</v>
      </c>
      <c r="AH3" s="107">
        <f t="shared" ref="AH3:AH11" si="118">IFERROR((ED3-FN3)/(EW3-FM3),0)</f>
        <v>0.22222222222222221</v>
      </c>
      <c r="AI3" s="318">
        <f t="shared" si="22"/>
        <v>0.22222222222222221</v>
      </c>
      <c r="AJ3" s="354">
        <f t="shared" si="23"/>
        <v>3</v>
      </c>
      <c r="AK3" s="353">
        <f t="shared" si="24"/>
        <v>1</v>
      </c>
      <c r="AL3" s="354">
        <f t="shared" si="25"/>
        <v>0</v>
      </c>
      <c r="AM3" s="357">
        <f t="shared" si="26"/>
        <v>7.2874493927125514E-2</v>
      </c>
      <c r="AN3" s="377">
        <f t="shared" si="27"/>
        <v>5.4888888888888889</v>
      </c>
      <c r="AO3" s="357">
        <f t="shared" si="28"/>
        <v>0.4</v>
      </c>
      <c r="AP3" s="378">
        <f t="shared" si="29"/>
        <v>0.18218623481781376</v>
      </c>
      <c r="AQ3" s="5">
        <f t="shared" si="30"/>
        <v>2.76</v>
      </c>
      <c r="AR3" s="5">
        <f t="shared" si="31"/>
        <v>0.20113360323886639</v>
      </c>
      <c r="AS3" s="5">
        <f t="shared" si="32"/>
        <v>2.76</v>
      </c>
      <c r="AT3" s="5">
        <f t="shared" si="33"/>
        <v>0.20113360323886639</v>
      </c>
      <c r="AU3" s="5">
        <f t="shared" si="34"/>
        <v>2.94</v>
      </c>
      <c r="AV3" s="5">
        <f t="shared" si="35"/>
        <v>0.21425101214574899</v>
      </c>
      <c r="AW3" s="5">
        <f t="shared" si="36"/>
        <v>5.6999999999999993</v>
      </c>
      <c r="AX3" s="5">
        <f t="shared" si="37"/>
        <v>0.41538461538461535</v>
      </c>
      <c r="AY3" s="2">
        <f t="shared" si="38"/>
        <v>3</v>
      </c>
      <c r="AZ3" s="5">
        <f t="shared" si="39"/>
        <v>411.66666666666669</v>
      </c>
      <c r="BA3" s="21">
        <f t="shared" si="40"/>
        <v>0.21862348178137653</v>
      </c>
      <c r="BB3" s="208">
        <f t="shared" si="41"/>
        <v>120.98333333333332</v>
      </c>
      <c r="BC3" s="5">
        <f t="shared" si="42"/>
        <v>8.8165991902833998</v>
      </c>
      <c r="BD3" s="6">
        <f t="shared" si="43"/>
        <v>39</v>
      </c>
      <c r="BE3" s="5">
        <f t="shared" si="44"/>
        <v>2.8421052631578947</v>
      </c>
      <c r="BF3" s="6">
        <f t="shared" si="45"/>
        <v>46</v>
      </c>
      <c r="BG3" s="5">
        <f t="shared" si="46"/>
        <v>3.3522267206477734</v>
      </c>
      <c r="BH3" s="6">
        <f t="shared" si="47"/>
        <v>35</v>
      </c>
      <c r="BI3" s="5">
        <f t="shared" si="48"/>
        <v>2.550607287449393</v>
      </c>
      <c r="BJ3" s="6">
        <f t="shared" si="49"/>
        <v>20</v>
      </c>
      <c r="BK3" s="5">
        <f t="shared" si="50"/>
        <v>1.4574898785425101</v>
      </c>
      <c r="BL3" s="6">
        <f t="shared" si="51"/>
        <v>15</v>
      </c>
      <c r="BM3" s="5">
        <f t="shared" si="52"/>
        <v>1.0931174089068827</v>
      </c>
      <c r="BN3" s="20">
        <f t="shared" si="53"/>
        <v>0.5714285714285714</v>
      </c>
      <c r="BO3" s="2">
        <f t="shared" si="54"/>
        <v>14</v>
      </c>
      <c r="BP3" s="5">
        <f t="shared" si="55"/>
        <v>1.0202429149797572</v>
      </c>
      <c r="BQ3" s="2">
        <f t="shared" si="56"/>
        <v>14</v>
      </c>
      <c r="BR3" s="12">
        <f t="shared" si="57"/>
        <v>0</v>
      </c>
      <c r="BS3" s="6">
        <f t="shared" si="58"/>
        <v>137</v>
      </c>
      <c r="BT3" s="5">
        <f t="shared" si="59"/>
        <v>9.9838056680161955</v>
      </c>
      <c r="BU3" s="6">
        <f t="shared" si="60"/>
        <v>26</v>
      </c>
      <c r="BV3" s="5">
        <f t="shared" si="61"/>
        <v>1.8947368421052633</v>
      </c>
      <c r="BW3" s="21">
        <f t="shared" si="62"/>
        <v>0.18978102189781021</v>
      </c>
      <c r="BX3" s="2">
        <f t="shared" si="63"/>
        <v>0</v>
      </c>
      <c r="BY3" s="2">
        <f t="shared" si="64"/>
        <v>0</v>
      </c>
      <c r="BZ3" s="2">
        <f t="shared" si="65"/>
        <v>0</v>
      </c>
      <c r="CA3" s="2">
        <f t="shared" si="66"/>
        <v>34</v>
      </c>
      <c r="CB3" s="2">
        <f t="shared" si="67"/>
        <v>20</v>
      </c>
      <c r="CC3" s="21">
        <f t="shared" si="68"/>
        <v>0.58823529411764708</v>
      </c>
      <c r="CD3" s="21">
        <f t="shared" si="69"/>
        <v>1</v>
      </c>
      <c r="CE3" s="6">
        <f t="shared" si="70"/>
        <v>0</v>
      </c>
      <c r="CF3" s="5">
        <f t="shared" si="71"/>
        <v>0</v>
      </c>
      <c r="CG3" s="178">
        <f t="shared" si="72"/>
        <v>43</v>
      </c>
      <c r="CH3" s="178">
        <f t="shared" si="73"/>
        <v>6</v>
      </c>
      <c r="CI3" s="179">
        <f t="shared" si="74"/>
        <v>0.13953488372093023</v>
      </c>
      <c r="CJ3" s="6">
        <f t="shared" si="75"/>
        <v>578</v>
      </c>
      <c r="CK3" s="6">
        <f t="shared" si="76"/>
        <v>510</v>
      </c>
      <c r="CL3" s="5">
        <f t="shared" si="77"/>
        <v>32.210526315789473</v>
      </c>
      <c r="CM3" s="6">
        <f t="shared" si="78"/>
        <v>68</v>
      </c>
      <c r="CN3" s="21">
        <f t="shared" si="79"/>
        <v>0.88235294117647056</v>
      </c>
      <c r="CO3" s="6">
        <f t="shared" si="80"/>
        <v>51</v>
      </c>
      <c r="CP3" s="5">
        <f t="shared" si="81"/>
        <v>3.716599190283401</v>
      </c>
      <c r="CQ3" s="6">
        <f t="shared" si="82"/>
        <v>20</v>
      </c>
      <c r="CR3" s="6">
        <f t="shared" si="83"/>
        <v>31</v>
      </c>
      <c r="CS3" s="20">
        <f t="shared" si="84"/>
        <v>0.39215686274509803</v>
      </c>
      <c r="CT3" s="5">
        <f t="shared" si="85"/>
        <v>58.955465587044536</v>
      </c>
      <c r="CU3" s="6">
        <f t="shared" si="86"/>
        <v>898.94</v>
      </c>
      <c r="CV3" s="5">
        <f t="shared" si="87"/>
        <v>65.50979757085021</v>
      </c>
      <c r="CW3" s="6">
        <f t="shared" si="88"/>
        <v>619.25</v>
      </c>
      <c r="CX3" s="5">
        <f t="shared" si="89"/>
        <v>45.127530364372475</v>
      </c>
      <c r="CY3" s="21">
        <f t="shared" si="90"/>
        <v>0.68886688766769744</v>
      </c>
      <c r="CZ3" s="6">
        <f t="shared" si="91"/>
        <v>44.94</v>
      </c>
      <c r="DA3" s="5">
        <f t="shared" si="92"/>
        <v>3.2749797570850201</v>
      </c>
      <c r="DB3" s="6">
        <f t="shared" si="93"/>
        <v>30</v>
      </c>
      <c r="DC3" s="5">
        <f t="shared" si="94"/>
        <v>2.1862348178137654</v>
      </c>
      <c r="DD3" s="5">
        <f t="shared" si="95"/>
        <v>30</v>
      </c>
      <c r="DE3" s="21">
        <f t="shared" si="96"/>
        <v>3.3333333333333333E-2</v>
      </c>
      <c r="DF3" s="5">
        <f t="shared" si="97"/>
        <v>9.8000000000000004E-2</v>
      </c>
      <c r="DG3" s="315">
        <f t="shared" si="98"/>
        <v>9.8000000000000004E-2</v>
      </c>
      <c r="DH3" s="6">
        <f t="shared" si="99"/>
        <v>125</v>
      </c>
      <c r="DI3" s="5">
        <f t="shared" si="100"/>
        <v>9.1093117408906892</v>
      </c>
      <c r="DJ3" s="152">
        <f t="shared" si="101"/>
        <v>146.1</v>
      </c>
      <c r="DK3" s="5">
        <f t="shared" si="102"/>
        <v>10.646963562753037</v>
      </c>
      <c r="DL3" s="180">
        <f t="shared" si="103"/>
        <v>75</v>
      </c>
      <c r="DM3" s="117">
        <f t="shared" si="104"/>
        <v>5.4655870445344137</v>
      </c>
      <c r="DN3" s="117">
        <f t="shared" si="105"/>
        <v>19</v>
      </c>
      <c r="DO3" s="117">
        <f t="shared" si="106"/>
        <v>7.08</v>
      </c>
      <c r="DP3" s="298"/>
      <c r="DQ3" s="294" t="s">
        <v>646</v>
      </c>
      <c r="DR3" s="294" t="s">
        <v>698</v>
      </c>
      <c r="DS3" s="294">
        <v>27</v>
      </c>
      <c r="DT3" s="294" t="s">
        <v>660</v>
      </c>
      <c r="DU3" s="294" t="s">
        <v>561</v>
      </c>
      <c r="DV3" s="294" t="s">
        <v>607</v>
      </c>
      <c r="DW3" s="294" t="s">
        <v>659</v>
      </c>
      <c r="DX3" s="294" t="s">
        <v>675</v>
      </c>
      <c r="DY3" s="295">
        <v>47299</v>
      </c>
      <c r="DZ3" s="294">
        <v>1235</v>
      </c>
      <c r="EA3" s="294" t="s">
        <v>661</v>
      </c>
      <c r="EB3" s="294">
        <v>3</v>
      </c>
      <c r="EC3" s="294">
        <v>0</v>
      </c>
      <c r="ED3" s="294">
        <v>4</v>
      </c>
      <c r="EE3" s="294">
        <v>1</v>
      </c>
      <c r="EF3" s="294">
        <v>0</v>
      </c>
      <c r="EG3" s="294">
        <v>0</v>
      </c>
      <c r="EH3" s="294">
        <v>6</v>
      </c>
      <c r="EI3" s="294">
        <v>1</v>
      </c>
      <c r="EJ3" s="294">
        <v>19</v>
      </c>
      <c r="EK3" s="294" t="s">
        <v>717</v>
      </c>
      <c r="EL3" s="294" t="s">
        <v>718</v>
      </c>
      <c r="EM3" s="294">
        <v>14</v>
      </c>
      <c r="EN3" s="294">
        <v>23</v>
      </c>
      <c r="EO3" s="294">
        <v>51</v>
      </c>
      <c r="EP3" s="294">
        <v>20</v>
      </c>
      <c r="EQ3" s="294">
        <v>0</v>
      </c>
      <c r="ER3" s="294">
        <v>578</v>
      </c>
      <c r="ES3" s="294">
        <v>510</v>
      </c>
      <c r="ET3" s="294">
        <v>30</v>
      </c>
      <c r="EU3" s="294">
        <v>54</v>
      </c>
      <c r="EV3" s="294">
        <v>65</v>
      </c>
      <c r="EW3" s="294">
        <v>18</v>
      </c>
      <c r="EX3" s="294">
        <v>11</v>
      </c>
      <c r="EY3" s="294">
        <v>137</v>
      </c>
      <c r="EZ3" s="294">
        <v>26</v>
      </c>
      <c r="FA3" s="294">
        <v>21</v>
      </c>
      <c r="FB3" s="294">
        <v>20</v>
      </c>
      <c r="FC3" s="294">
        <v>0</v>
      </c>
      <c r="FD3" s="294">
        <v>1</v>
      </c>
      <c r="FE3" s="294">
        <v>31</v>
      </c>
      <c r="FF3" s="294">
        <v>0</v>
      </c>
      <c r="FG3" s="294">
        <v>7</v>
      </c>
      <c r="FH3" s="294">
        <v>5.0999999999999996</v>
      </c>
      <c r="FI3" s="294">
        <v>0.4</v>
      </c>
      <c r="FJ3" s="294">
        <v>43</v>
      </c>
      <c r="FK3" s="294">
        <v>6</v>
      </c>
      <c r="FL3" s="294">
        <v>0</v>
      </c>
      <c r="FM3" s="294">
        <v>0</v>
      </c>
      <c r="FN3" s="294">
        <v>0</v>
      </c>
      <c r="FO3" s="294" t="s">
        <v>693</v>
      </c>
      <c r="FP3" s="299">
        <v>7.08</v>
      </c>
    </row>
    <row r="4" spans="1:172" ht="24.95" customHeight="1" thickBot="1" x14ac:dyDescent="0.3">
      <c r="A4" s="29" t="str">
        <f t="shared" si="0"/>
        <v>3º</v>
      </c>
      <c r="B4" s="69" t="str">
        <f t="shared" si="1"/>
        <v>Bryan Cristante</v>
      </c>
      <c r="C4" s="86" t="str">
        <f t="shared" si="2"/>
        <v>ITA</v>
      </c>
      <c r="D4" s="99" t="str">
        <f t="shared" si="3"/>
        <v>Pé Direito</v>
      </c>
      <c r="E4" s="28" t="str">
        <f t="shared" si="4"/>
        <v>Roma</v>
      </c>
      <c r="F4" s="166">
        <f t="shared" si="5"/>
        <v>1.86</v>
      </c>
      <c r="G4" s="36">
        <f t="shared" si="6"/>
        <v>31</v>
      </c>
      <c r="H4" s="325" t="str">
        <f t="shared" si="7"/>
        <v>591m € p/m</v>
      </c>
      <c r="I4" s="35">
        <f t="shared" si="8"/>
        <v>46934</v>
      </c>
      <c r="J4" s="28" t="str">
        <f t="shared" si="9"/>
        <v>Não está à venda</v>
      </c>
      <c r="K4" s="96">
        <f t="shared" si="10"/>
        <v>15.507777777777779</v>
      </c>
      <c r="L4" s="144">
        <f t="shared" si="11"/>
        <v>16.577777777777779</v>
      </c>
      <c r="M4" s="144">
        <f t="shared" si="12"/>
        <v>17</v>
      </c>
      <c r="N4" s="144">
        <f t="shared" si="13"/>
        <v>87.764705882352942</v>
      </c>
      <c r="O4" s="184">
        <f t="shared" si="14"/>
        <v>1</v>
      </c>
      <c r="P4" s="6">
        <f t="shared" si="15"/>
        <v>0</v>
      </c>
      <c r="Q4" s="6">
        <f t="shared" si="16"/>
        <v>0</v>
      </c>
      <c r="R4" s="6">
        <f t="shared" si="17"/>
        <v>0</v>
      </c>
      <c r="S4" s="21">
        <f t="shared" si="18"/>
        <v>9.9999999999999995E-8</v>
      </c>
      <c r="T4" s="2">
        <f t="shared" si="19"/>
        <v>2</v>
      </c>
      <c r="U4" s="2">
        <f t="shared" si="20"/>
        <v>3</v>
      </c>
      <c r="V4" s="6">
        <f t="shared" si="21"/>
        <v>5</v>
      </c>
      <c r="W4" s="6">
        <f t="shared" si="107"/>
        <v>8</v>
      </c>
      <c r="X4" s="5">
        <f t="shared" si="108"/>
        <v>0.48257372654155489</v>
      </c>
      <c r="Y4" s="6">
        <f t="shared" si="109"/>
        <v>4</v>
      </c>
      <c r="Z4" s="5">
        <f t="shared" si="110"/>
        <v>0.24128686327077745</v>
      </c>
      <c r="AA4" s="6">
        <f t="shared" si="111"/>
        <v>4</v>
      </c>
      <c r="AB4" s="5">
        <f t="shared" si="112"/>
        <v>0.24128686327077745</v>
      </c>
      <c r="AC4" s="6">
        <f t="shared" si="113"/>
        <v>6</v>
      </c>
      <c r="AD4" s="5">
        <f t="shared" si="114"/>
        <v>0.36193029490616618</v>
      </c>
      <c r="AE4" s="21">
        <f t="shared" si="115"/>
        <v>0.5</v>
      </c>
      <c r="AF4" s="5">
        <f t="shared" si="116"/>
        <v>4</v>
      </c>
      <c r="AG4" s="5">
        <f t="shared" si="117"/>
        <v>2</v>
      </c>
      <c r="AH4" s="107">
        <f t="shared" si="118"/>
        <v>0.25</v>
      </c>
      <c r="AI4" s="318">
        <f t="shared" si="22"/>
        <v>0.25</v>
      </c>
      <c r="AJ4" s="354">
        <f t="shared" si="23"/>
        <v>1</v>
      </c>
      <c r="AK4" s="353">
        <f t="shared" si="24"/>
        <v>1</v>
      </c>
      <c r="AL4" s="354">
        <f t="shared" si="25"/>
        <v>0</v>
      </c>
      <c r="AM4" s="357">
        <f t="shared" si="26"/>
        <v>6.0321715817694362E-2</v>
      </c>
      <c r="AN4" s="377">
        <f t="shared" si="27"/>
        <v>1.657777777777778</v>
      </c>
      <c r="AO4" s="357">
        <f t="shared" si="28"/>
        <v>0.1</v>
      </c>
      <c r="AP4" s="378">
        <f t="shared" si="29"/>
        <v>0.60321715817694355</v>
      </c>
      <c r="AQ4" s="5">
        <f t="shared" si="30"/>
        <v>0.74</v>
      </c>
      <c r="AR4" s="5">
        <f t="shared" si="31"/>
        <v>4.4638069705093826E-2</v>
      </c>
      <c r="AS4" s="5">
        <f t="shared" si="32"/>
        <v>0.74</v>
      </c>
      <c r="AT4" s="5">
        <f t="shared" si="33"/>
        <v>4.4638069705093826E-2</v>
      </c>
      <c r="AU4" s="5">
        <f t="shared" si="34"/>
        <v>3.18</v>
      </c>
      <c r="AV4" s="5">
        <f t="shared" si="35"/>
        <v>0.19182305630026808</v>
      </c>
      <c r="AW4" s="5">
        <f t="shared" si="36"/>
        <v>3.92</v>
      </c>
      <c r="AX4" s="5">
        <f t="shared" si="37"/>
        <v>0.2364611260053619</v>
      </c>
      <c r="AY4" s="2">
        <f t="shared" si="38"/>
        <v>1</v>
      </c>
      <c r="AZ4" s="5">
        <f t="shared" si="39"/>
        <v>1492</v>
      </c>
      <c r="BA4" s="21">
        <f t="shared" si="40"/>
        <v>6.0321715817694362E-2</v>
      </c>
      <c r="BB4" s="208">
        <f t="shared" si="41"/>
        <v>253.64444444444447</v>
      </c>
      <c r="BC4" s="5">
        <f t="shared" si="42"/>
        <v>15.300268096514746</v>
      </c>
      <c r="BD4" s="6">
        <f t="shared" si="43"/>
        <v>66</v>
      </c>
      <c r="BE4" s="5">
        <f t="shared" si="44"/>
        <v>3.9812332439678282</v>
      </c>
      <c r="BF4" s="6">
        <f t="shared" si="45"/>
        <v>42</v>
      </c>
      <c r="BG4" s="5">
        <f t="shared" si="46"/>
        <v>2.5335120643431632</v>
      </c>
      <c r="BH4" s="6">
        <f t="shared" si="47"/>
        <v>32</v>
      </c>
      <c r="BI4" s="5">
        <f t="shared" si="48"/>
        <v>1.9302949061662196</v>
      </c>
      <c r="BJ4" s="6">
        <f t="shared" si="49"/>
        <v>20</v>
      </c>
      <c r="BK4" s="5">
        <f t="shared" si="50"/>
        <v>1.2064343163538873</v>
      </c>
      <c r="BL4" s="6">
        <f t="shared" si="51"/>
        <v>12</v>
      </c>
      <c r="BM4" s="5">
        <f t="shared" si="52"/>
        <v>0.72386058981233237</v>
      </c>
      <c r="BN4" s="20">
        <f t="shared" si="53"/>
        <v>0.625</v>
      </c>
      <c r="BO4" s="2">
        <f t="shared" si="54"/>
        <v>8</v>
      </c>
      <c r="BP4" s="5">
        <f t="shared" si="55"/>
        <v>0.48257372654155489</v>
      </c>
      <c r="BQ4" s="2">
        <f t="shared" si="56"/>
        <v>6</v>
      </c>
      <c r="BR4" s="12">
        <f t="shared" si="57"/>
        <v>0.25</v>
      </c>
      <c r="BS4" s="6">
        <f t="shared" si="58"/>
        <v>101</v>
      </c>
      <c r="BT4" s="5">
        <f t="shared" si="59"/>
        <v>6.0924932975871311</v>
      </c>
      <c r="BU4" s="6">
        <f t="shared" si="60"/>
        <v>22</v>
      </c>
      <c r="BV4" s="5">
        <f t="shared" si="61"/>
        <v>1.3270777479892759</v>
      </c>
      <c r="BW4" s="21">
        <f t="shared" si="62"/>
        <v>0.21782178217821782</v>
      </c>
      <c r="BX4" s="2">
        <f t="shared" si="63"/>
        <v>2</v>
      </c>
      <c r="BY4" s="2">
        <f t="shared" si="64"/>
        <v>0</v>
      </c>
      <c r="BZ4" s="2">
        <f t="shared" si="65"/>
        <v>2</v>
      </c>
      <c r="CA4" s="2">
        <f t="shared" si="66"/>
        <v>28</v>
      </c>
      <c r="CB4" s="2">
        <f t="shared" si="67"/>
        <v>20</v>
      </c>
      <c r="CC4" s="21">
        <f t="shared" si="68"/>
        <v>0.7142857142857143</v>
      </c>
      <c r="CD4" s="21">
        <f t="shared" si="69"/>
        <v>0.75</v>
      </c>
      <c r="CE4" s="6">
        <f t="shared" si="70"/>
        <v>0</v>
      </c>
      <c r="CF4" s="5">
        <f t="shared" si="71"/>
        <v>0</v>
      </c>
      <c r="CG4" s="178">
        <f t="shared" si="72"/>
        <v>2</v>
      </c>
      <c r="CH4" s="178">
        <f t="shared" si="73"/>
        <v>1</v>
      </c>
      <c r="CI4" s="179">
        <f t="shared" si="74"/>
        <v>0.5</v>
      </c>
      <c r="CJ4" s="6">
        <f t="shared" si="75"/>
        <v>1083</v>
      </c>
      <c r="CK4" s="6">
        <f t="shared" si="76"/>
        <v>1036</v>
      </c>
      <c r="CL4" s="5">
        <f t="shared" si="77"/>
        <v>59.658176943699729</v>
      </c>
      <c r="CM4" s="6">
        <f t="shared" si="78"/>
        <v>47</v>
      </c>
      <c r="CN4" s="21">
        <f t="shared" si="79"/>
        <v>0.95660203139427513</v>
      </c>
      <c r="CO4" s="6">
        <f t="shared" si="80"/>
        <v>57</v>
      </c>
      <c r="CP4" s="5">
        <f t="shared" si="81"/>
        <v>3.4383378016085788</v>
      </c>
      <c r="CQ4" s="6">
        <f t="shared" si="82"/>
        <v>33</v>
      </c>
      <c r="CR4" s="6">
        <f t="shared" si="83"/>
        <v>24</v>
      </c>
      <c r="CS4" s="20">
        <f t="shared" si="84"/>
        <v>0.57894736842105265</v>
      </c>
      <c r="CT4" s="5">
        <f t="shared" si="85"/>
        <v>74.376675603217151</v>
      </c>
      <c r="CU4" s="6">
        <f t="shared" si="86"/>
        <v>1314.18</v>
      </c>
      <c r="CV4" s="5">
        <f t="shared" si="87"/>
        <v>79.273592493297585</v>
      </c>
      <c r="CW4" s="6">
        <f t="shared" si="88"/>
        <v>1139.5</v>
      </c>
      <c r="CX4" s="5">
        <f t="shared" si="89"/>
        <v>68.736595174262732</v>
      </c>
      <c r="CY4" s="21">
        <f t="shared" si="90"/>
        <v>0.86708061300582873</v>
      </c>
      <c r="CZ4" s="6">
        <f t="shared" si="91"/>
        <v>20.18</v>
      </c>
      <c r="DA4" s="5">
        <f t="shared" si="92"/>
        <v>1.2172922252010723</v>
      </c>
      <c r="DB4" s="6">
        <f t="shared" si="93"/>
        <v>12</v>
      </c>
      <c r="DC4" s="5">
        <f t="shared" si="94"/>
        <v>0.72386058981233237</v>
      </c>
      <c r="DD4" s="5">
        <f t="shared" si="95"/>
        <v>4</v>
      </c>
      <c r="DE4" s="21">
        <f t="shared" si="96"/>
        <v>0.25</v>
      </c>
      <c r="DF4" s="5">
        <f t="shared" si="97"/>
        <v>0.26500000000000001</v>
      </c>
      <c r="DG4" s="315">
        <f t="shared" si="98"/>
        <v>0.26500000000000001</v>
      </c>
      <c r="DH4" s="6">
        <f t="shared" si="99"/>
        <v>25</v>
      </c>
      <c r="DI4" s="5">
        <f t="shared" si="100"/>
        <v>1.508042895442359</v>
      </c>
      <c r="DJ4" s="152">
        <f t="shared" si="101"/>
        <v>193.4</v>
      </c>
      <c r="DK4" s="5">
        <f t="shared" si="102"/>
        <v>11.666219839142091</v>
      </c>
      <c r="DL4" s="180">
        <f t="shared" si="103"/>
        <v>51</v>
      </c>
      <c r="DM4" s="117">
        <f t="shared" si="104"/>
        <v>3.0764075067024126</v>
      </c>
      <c r="DN4" s="117">
        <f t="shared" si="105"/>
        <v>6.2</v>
      </c>
      <c r="DO4" s="117">
        <f t="shared" si="106"/>
        <v>7.12</v>
      </c>
      <c r="DP4" s="296"/>
      <c r="DQ4" s="292" t="s">
        <v>647</v>
      </c>
      <c r="DR4" s="292" t="s">
        <v>651</v>
      </c>
      <c r="DS4" s="292">
        <v>31</v>
      </c>
      <c r="DT4" s="292" t="s">
        <v>649</v>
      </c>
      <c r="DU4" s="292" t="s">
        <v>557</v>
      </c>
      <c r="DV4" s="292" t="s">
        <v>601</v>
      </c>
      <c r="DW4" s="292" t="s">
        <v>408</v>
      </c>
      <c r="DX4" s="292" t="s">
        <v>673</v>
      </c>
      <c r="DY4" s="293">
        <v>46934</v>
      </c>
      <c r="DZ4" s="292">
        <v>1492</v>
      </c>
      <c r="EA4" s="292">
        <v>17</v>
      </c>
      <c r="EB4" s="292">
        <v>1</v>
      </c>
      <c r="EC4" s="292">
        <v>0</v>
      </c>
      <c r="ED4" s="292">
        <v>2</v>
      </c>
      <c r="EE4" s="292">
        <v>3</v>
      </c>
      <c r="EF4" s="292">
        <v>2</v>
      </c>
      <c r="EG4" s="292">
        <v>0</v>
      </c>
      <c r="EH4" s="292">
        <v>4</v>
      </c>
      <c r="EI4" s="292">
        <v>1</v>
      </c>
      <c r="EJ4" s="292">
        <v>6.2</v>
      </c>
      <c r="EK4" s="292" t="s">
        <v>705</v>
      </c>
      <c r="EL4" s="292" t="s">
        <v>700</v>
      </c>
      <c r="EM4" s="292">
        <v>8</v>
      </c>
      <c r="EN4" s="292">
        <v>9</v>
      </c>
      <c r="EO4" s="292">
        <v>57</v>
      </c>
      <c r="EP4" s="292">
        <v>33</v>
      </c>
      <c r="EQ4" s="292">
        <v>0.4</v>
      </c>
      <c r="ER4" s="292">
        <v>1083</v>
      </c>
      <c r="ES4" s="292">
        <v>1036</v>
      </c>
      <c r="ET4" s="292">
        <v>12</v>
      </c>
      <c r="EU4" s="292">
        <v>112</v>
      </c>
      <c r="EV4" s="292">
        <v>0</v>
      </c>
      <c r="EW4" s="292">
        <v>8</v>
      </c>
      <c r="EX4" s="292">
        <v>4</v>
      </c>
      <c r="EY4" s="292">
        <v>101</v>
      </c>
      <c r="EZ4" s="292">
        <v>22</v>
      </c>
      <c r="FA4" s="292">
        <v>24</v>
      </c>
      <c r="FB4" s="292">
        <v>20</v>
      </c>
      <c r="FC4" s="292">
        <v>0</v>
      </c>
      <c r="FD4" s="292">
        <v>9</v>
      </c>
      <c r="FE4" s="292">
        <v>43</v>
      </c>
      <c r="FF4" s="292">
        <v>1</v>
      </c>
      <c r="FG4" s="292">
        <v>13</v>
      </c>
      <c r="FH4" s="292">
        <v>11.5</v>
      </c>
      <c r="FI4" s="292">
        <v>0.1</v>
      </c>
      <c r="FJ4" s="292">
        <v>2</v>
      </c>
      <c r="FK4" s="292">
        <v>1</v>
      </c>
      <c r="FL4" s="292">
        <v>0</v>
      </c>
      <c r="FM4" s="292">
        <v>0</v>
      </c>
      <c r="FN4" s="292">
        <v>0</v>
      </c>
      <c r="FO4" s="292" t="s">
        <v>674</v>
      </c>
      <c r="FP4" s="297">
        <v>7.12</v>
      </c>
    </row>
    <row r="5" spans="1:172" ht="24.95" customHeight="1" thickBot="1" x14ac:dyDescent="0.3">
      <c r="A5" s="29" t="str">
        <f t="shared" si="0"/>
        <v>4º</v>
      </c>
      <c r="B5" s="69" t="str">
        <f t="shared" si="1"/>
        <v>Fermín</v>
      </c>
      <c r="C5" s="86" t="str">
        <f t="shared" si="2"/>
        <v>ESP</v>
      </c>
      <c r="D5" s="99" t="str">
        <f t="shared" si="3"/>
        <v>Pé Direito</v>
      </c>
      <c r="E5" s="28" t="str">
        <f t="shared" si="4"/>
        <v>Barcelona</v>
      </c>
      <c r="F5" s="166">
        <f t="shared" si="5"/>
        <v>1.75</v>
      </c>
      <c r="G5" s="36">
        <f t="shared" si="6"/>
        <v>23</v>
      </c>
      <c r="H5" s="325" t="str">
        <f t="shared" si="7"/>
        <v>704m € p/m</v>
      </c>
      <c r="I5" s="35">
        <f t="shared" si="8"/>
        <v>47664</v>
      </c>
      <c r="J5" s="28" t="str">
        <f t="shared" si="9"/>
        <v>54M € - 80M €</v>
      </c>
      <c r="K5" s="96">
        <f t="shared" si="10"/>
        <v>15.507777777777779</v>
      </c>
      <c r="L5" s="144">
        <f t="shared" si="11"/>
        <v>13.988888888888889</v>
      </c>
      <c r="M5" s="144">
        <f t="shared" si="12"/>
        <v>22</v>
      </c>
      <c r="N5" s="144">
        <f t="shared" si="13"/>
        <v>57.227272727272727</v>
      </c>
      <c r="O5" s="184">
        <f t="shared" si="14"/>
        <v>1</v>
      </c>
      <c r="P5" s="6">
        <f t="shared" si="15"/>
        <v>0</v>
      </c>
      <c r="Q5" s="6">
        <f t="shared" si="16"/>
        <v>0</v>
      </c>
      <c r="R5" s="6">
        <f t="shared" si="17"/>
        <v>0</v>
      </c>
      <c r="S5" s="21">
        <f t="shared" si="18"/>
        <v>9.9999999999999995E-8</v>
      </c>
      <c r="T5" s="2">
        <f t="shared" si="19"/>
        <v>7</v>
      </c>
      <c r="U5" s="2">
        <f t="shared" si="20"/>
        <v>1</v>
      </c>
      <c r="V5" s="6">
        <f t="shared" si="21"/>
        <v>8</v>
      </c>
      <c r="W5" s="6">
        <f t="shared" si="107"/>
        <v>31</v>
      </c>
      <c r="X5" s="5">
        <f t="shared" si="108"/>
        <v>2.2160444797458299</v>
      </c>
      <c r="Y5" s="6">
        <f t="shared" si="109"/>
        <v>16</v>
      </c>
      <c r="Z5" s="5">
        <f t="shared" si="110"/>
        <v>1.1437648927720414</v>
      </c>
      <c r="AA5" s="6">
        <f t="shared" si="111"/>
        <v>15</v>
      </c>
      <c r="AB5" s="5">
        <f t="shared" si="112"/>
        <v>1.0722795869737887</v>
      </c>
      <c r="AC5" s="6">
        <f t="shared" si="113"/>
        <v>24</v>
      </c>
      <c r="AD5" s="5">
        <f t="shared" si="114"/>
        <v>1.715647339158062</v>
      </c>
      <c r="AE5" s="21">
        <f t="shared" si="115"/>
        <v>0.4838709677419355</v>
      </c>
      <c r="AF5" s="5">
        <f t="shared" si="116"/>
        <v>4.4285714285714288</v>
      </c>
      <c r="AG5" s="5">
        <f t="shared" si="117"/>
        <v>2.1428571428571428</v>
      </c>
      <c r="AH5" s="107">
        <f t="shared" si="118"/>
        <v>0.22580645161290322</v>
      </c>
      <c r="AI5" s="318">
        <f t="shared" si="22"/>
        <v>0.22580645161290322</v>
      </c>
      <c r="AJ5" s="354">
        <f t="shared" si="23"/>
        <v>5</v>
      </c>
      <c r="AK5" s="353">
        <f t="shared" si="24"/>
        <v>2</v>
      </c>
      <c r="AL5" s="354">
        <f t="shared" si="25"/>
        <v>0</v>
      </c>
      <c r="AM5" s="357">
        <f t="shared" si="26"/>
        <v>0.14297061159650518</v>
      </c>
      <c r="AN5" s="377">
        <f t="shared" si="27"/>
        <v>15.38777777777778</v>
      </c>
      <c r="AO5" s="357">
        <f t="shared" si="28"/>
        <v>1.1000000000000001</v>
      </c>
      <c r="AP5" s="378">
        <f t="shared" si="29"/>
        <v>0.12997328326955015</v>
      </c>
      <c r="AQ5" s="5">
        <f t="shared" si="30"/>
        <v>2.7</v>
      </c>
      <c r="AR5" s="5">
        <f t="shared" si="31"/>
        <v>0.19301032565528198</v>
      </c>
      <c r="AS5" s="5">
        <f t="shared" si="32"/>
        <v>2.7</v>
      </c>
      <c r="AT5" s="5">
        <f t="shared" si="33"/>
        <v>0.19301032565528198</v>
      </c>
      <c r="AU5" s="5">
        <f t="shared" si="34"/>
        <v>2.27</v>
      </c>
      <c r="AV5" s="5">
        <f t="shared" si="35"/>
        <v>0.16227164416203335</v>
      </c>
      <c r="AW5" s="5">
        <f t="shared" si="36"/>
        <v>4.9700000000000006</v>
      </c>
      <c r="AX5" s="5">
        <f t="shared" si="37"/>
        <v>0.35528196981731536</v>
      </c>
      <c r="AY5" s="2">
        <f t="shared" si="38"/>
        <v>1</v>
      </c>
      <c r="AZ5" s="5">
        <f t="shared" si="39"/>
        <v>1259</v>
      </c>
      <c r="BA5" s="21">
        <f t="shared" si="40"/>
        <v>7.1485305798252588E-2</v>
      </c>
      <c r="BB5" s="208">
        <f t="shared" si="41"/>
        <v>155.31555555555553</v>
      </c>
      <c r="BC5" s="5">
        <f t="shared" si="42"/>
        <v>11.102779984114376</v>
      </c>
      <c r="BD5" s="6">
        <f t="shared" si="43"/>
        <v>43.5</v>
      </c>
      <c r="BE5" s="5">
        <f t="shared" si="44"/>
        <v>3.1096108022239872</v>
      </c>
      <c r="BF5" s="6">
        <f t="shared" si="45"/>
        <v>37.5</v>
      </c>
      <c r="BG5" s="5">
        <f t="shared" si="46"/>
        <v>2.6806989674344717</v>
      </c>
      <c r="BH5" s="6">
        <f t="shared" si="47"/>
        <v>32</v>
      </c>
      <c r="BI5" s="5">
        <f t="shared" si="48"/>
        <v>2.2875297855440828</v>
      </c>
      <c r="BJ5" s="6">
        <f t="shared" si="49"/>
        <v>15</v>
      </c>
      <c r="BK5" s="5">
        <f t="shared" si="50"/>
        <v>1.0722795869737887</v>
      </c>
      <c r="BL5" s="6">
        <f t="shared" si="51"/>
        <v>17</v>
      </c>
      <c r="BM5" s="5">
        <f t="shared" si="52"/>
        <v>1.2152501985702939</v>
      </c>
      <c r="BN5" s="20">
        <f t="shared" si="53"/>
        <v>0.46875</v>
      </c>
      <c r="BO5" s="2">
        <f t="shared" si="54"/>
        <v>13</v>
      </c>
      <c r="BP5" s="5">
        <f t="shared" si="55"/>
        <v>0.92930897537728352</v>
      </c>
      <c r="BQ5" s="2">
        <f t="shared" si="56"/>
        <v>12</v>
      </c>
      <c r="BR5" s="12">
        <f t="shared" si="57"/>
        <v>7.6923076923076927E-2</v>
      </c>
      <c r="BS5" s="6">
        <f t="shared" si="58"/>
        <v>110</v>
      </c>
      <c r="BT5" s="5">
        <f t="shared" si="59"/>
        <v>7.8633836378077842</v>
      </c>
      <c r="BU5" s="6">
        <f t="shared" si="60"/>
        <v>22</v>
      </c>
      <c r="BV5" s="5">
        <f t="shared" si="61"/>
        <v>1.5726767275615567</v>
      </c>
      <c r="BW5" s="21">
        <f t="shared" si="62"/>
        <v>0.2</v>
      </c>
      <c r="BX5" s="2">
        <f t="shared" si="63"/>
        <v>1</v>
      </c>
      <c r="BY5" s="2">
        <f t="shared" si="64"/>
        <v>0</v>
      </c>
      <c r="BZ5" s="2">
        <f t="shared" si="65"/>
        <v>1</v>
      </c>
      <c r="CA5" s="2">
        <f t="shared" si="66"/>
        <v>29</v>
      </c>
      <c r="CB5" s="2">
        <f t="shared" si="67"/>
        <v>16</v>
      </c>
      <c r="CC5" s="21">
        <f t="shared" si="68"/>
        <v>0.55172413793103448</v>
      </c>
      <c r="CD5" s="21">
        <f t="shared" si="69"/>
        <v>0.92307692307692313</v>
      </c>
      <c r="CE5" s="6">
        <f t="shared" si="70"/>
        <v>1</v>
      </c>
      <c r="CF5" s="5">
        <f t="shared" si="71"/>
        <v>7.1485305798252588E-2</v>
      </c>
      <c r="CG5" s="178">
        <f t="shared" si="72"/>
        <v>28</v>
      </c>
      <c r="CH5" s="178">
        <f t="shared" si="73"/>
        <v>8</v>
      </c>
      <c r="CI5" s="179">
        <f t="shared" si="74"/>
        <v>0.2857142857142857</v>
      </c>
      <c r="CJ5" s="6">
        <f t="shared" si="75"/>
        <v>707</v>
      </c>
      <c r="CK5" s="6">
        <f t="shared" si="76"/>
        <v>635</v>
      </c>
      <c r="CL5" s="5">
        <f t="shared" si="77"/>
        <v>40.246227164416204</v>
      </c>
      <c r="CM5" s="6">
        <f t="shared" si="78"/>
        <v>72</v>
      </c>
      <c r="CN5" s="21">
        <f t="shared" si="79"/>
        <v>0.8981612446958982</v>
      </c>
      <c r="CO5" s="6">
        <f t="shared" si="80"/>
        <v>34</v>
      </c>
      <c r="CP5" s="5">
        <f t="shared" si="81"/>
        <v>2.4305003971405879</v>
      </c>
      <c r="CQ5" s="6">
        <f t="shared" si="82"/>
        <v>10</v>
      </c>
      <c r="CR5" s="6">
        <f t="shared" si="83"/>
        <v>24</v>
      </c>
      <c r="CS5" s="20">
        <f t="shared" si="84"/>
        <v>0.29411764705882354</v>
      </c>
      <c r="CT5" s="5">
        <f t="shared" si="85"/>
        <v>62.406671961874501</v>
      </c>
      <c r="CU5" s="6">
        <f t="shared" si="86"/>
        <v>973.27</v>
      </c>
      <c r="CV5" s="5">
        <f t="shared" si="87"/>
        <v>69.574503574265293</v>
      </c>
      <c r="CW5" s="6">
        <f t="shared" si="88"/>
        <v>733</v>
      </c>
      <c r="CX5" s="5">
        <f t="shared" si="89"/>
        <v>52.398729150119145</v>
      </c>
      <c r="CY5" s="21">
        <f t="shared" si="90"/>
        <v>0.7531311968929485</v>
      </c>
      <c r="CZ5" s="6">
        <f t="shared" si="91"/>
        <v>39.269999999999996</v>
      </c>
      <c r="DA5" s="5">
        <f t="shared" si="92"/>
        <v>2.8072279586973785</v>
      </c>
      <c r="DB5" s="6">
        <f t="shared" si="93"/>
        <v>25</v>
      </c>
      <c r="DC5" s="5">
        <f t="shared" si="94"/>
        <v>1.7871326449563145</v>
      </c>
      <c r="DD5" s="5">
        <f t="shared" si="95"/>
        <v>25</v>
      </c>
      <c r="DE5" s="21">
        <f t="shared" si="96"/>
        <v>0.04</v>
      </c>
      <c r="DF5" s="5">
        <f t="shared" si="97"/>
        <v>9.0800000000000006E-2</v>
      </c>
      <c r="DG5" s="315">
        <f t="shared" si="98"/>
        <v>9.0800000000000006E-2</v>
      </c>
      <c r="DH5" s="6">
        <f t="shared" si="99"/>
        <v>98</v>
      </c>
      <c r="DI5" s="5">
        <f t="shared" si="100"/>
        <v>7.005559968228753</v>
      </c>
      <c r="DJ5" s="152">
        <f t="shared" si="101"/>
        <v>179.7</v>
      </c>
      <c r="DK5" s="5">
        <f t="shared" si="102"/>
        <v>12.845909451945989</v>
      </c>
      <c r="DL5" s="180">
        <f t="shared" si="103"/>
        <v>88</v>
      </c>
      <c r="DM5" s="117">
        <f t="shared" si="104"/>
        <v>6.290706910246227</v>
      </c>
      <c r="DN5" s="117">
        <f t="shared" si="105"/>
        <v>13</v>
      </c>
      <c r="DO5" s="117">
        <f t="shared" si="106"/>
        <v>7.07</v>
      </c>
      <c r="DP5" s="296" t="s">
        <v>19</v>
      </c>
      <c r="DQ5" s="292" t="s">
        <v>646</v>
      </c>
      <c r="DR5" s="292" t="s">
        <v>694</v>
      </c>
      <c r="DS5" s="292">
        <v>23</v>
      </c>
      <c r="DT5" s="292" t="s">
        <v>648</v>
      </c>
      <c r="DU5" s="292" t="s">
        <v>562</v>
      </c>
      <c r="DV5" s="292" t="s">
        <v>601</v>
      </c>
      <c r="DW5" s="292" t="s">
        <v>695</v>
      </c>
      <c r="DX5" s="292" t="s">
        <v>696</v>
      </c>
      <c r="DY5" s="293">
        <v>47664</v>
      </c>
      <c r="DZ5" s="292">
        <v>1259</v>
      </c>
      <c r="EA5" s="292" t="s">
        <v>697</v>
      </c>
      <c r="EB5" s="292">
        <v>1</v>
      </c>
      <c r="EC5" s="292">
        <v>0</v>
      </c>
      <c r="ED5" s="292">
        <v>7</v>
      </c>
      <c r="EE5" s="292">
        <v>1</v>
      </c>
      <c r="EF5" s="292">
        <v>1</v>
      </c>
      <c r="EG5" s="292">
        <v>0</v>
      </c>
      <c r="EH5" s="292">
        <v>4</v>
      </c>
      <c r="EI5" s="292">
        <v>2</v>
      </c>
      <c r="EJ5" s="292">
        <v>13</v>
      </c>
      <c r="EK5" s="292" t="s">
        <v>715</v>
      </c>
      <c r="EL5" s="292" t="s">
        <v>716</v>
      </c>
      <c r="EM5" s="292">
        <v>13</v>
      </c>
      <c r="EN5" s="292">
        <v>16</v>
      </c>
      <c r="EO5" s="292">
        <v>34</v>
      </c>
      <c r="EP5" s="292">
        <v>10</v>
      </c>
      <c r="EQ5" s="292">
        <v>0</v>
      </c>
      <c r="ER5" s="292">
        <v>707</v>
      </c>
      <c r="ES5" s="292">
        <v>635</v>
      </c>
      <c r="ET5" s="292">
        <v>25</v>
      </c>
      <c r="EU5" s="292">
        <v>67</v>
      </c>
      <c r="EV5" s="292">
        <v>30</v>
      </c>
      <c r="EW5" s="292">
        <v>31</v>
      </c>
      <c r="EX5" s="292">
        <v>15</v>
      </c>
      <c r="EY5" s="292">
        <v>110</v>
      </c>
      <c r="EZ5" s="292">
        <v>22</v>
      </c>
      <c r="FA5" s="292">
        <v>19</v>
      </c>
      <c r="FB5" s="292">
        <v>15</v>
      </c>
      <c r="FC5" s="292">
        <v>1</v>
      </c>
      <c r="FD5" s="292">
        <v>4</v>
      </c>
      <c r="FE5" s="292">
        <v>33</v>
      </c>
      <c r="FF5" s="292">
        <v>0</v>
      </c>
      <c r="FG5" s="292">
        <v>6</v>
      </c>
      <c r="FH5" s="292">
        <v>7.6</v>
      </c>
      <c r="FI5" s="292">
        <v>1.1000000000000001</v>
      </c>
      <c r="FJ5" s="292">
        <v>28</v>
      </c>
      <c r="FK5" s="292">
        <v>8</v>
      </c>
      <c r="FL5" s="292">
        <v>0</v>
      </c>
      <c r="FM5" s="292">
        <v>0</v>
      </c>
      <c r="FN5" s="292">
        <v>0</v>
      </c>
      <c r="FO5" s="292" t="s">
        <v>662</v>
      </c>
      <c r="FP5" s="297">
        <v>7.07</v>
      </c>
    </row>
    <row r="6" spans="1:172" ht="24.95" customHeight="1" thickBot="1" x14ac:dyDescent="0.3">
      <c r="A6" s="29" t="str">
        <f t="shared" si="0"/>
        <v>5º</v>
      </c>
      <c r="B6" s="69" t="str">
        <f t="shared" si="1"/>
        <v>Gavi</v>
      </c>
      <c r="C6" s="86" t="str">
        <f t="shared" si="2"/>
        <v>ESP</v>
      </c>
      <c r="D6" s="99" t="str">
        <f t="shared" si="3"/>
        <v>Pé Direito</v>
      </c>
      <c r="E6" s="28" t="str">
        <f t="shared" si="4"/>
        <v>Barcelona</v>
      </c>
      <c r="F6" s="166">
        <f t="shared" si="5"/>
        <v>1.73</v>
      </c>
      <c r="G6" s="36">
        <f t="shared" si="6"/>
        <v>22</v>
      </c>
      <c r="H6" s="325" t="str">
        <f t="shared" si="7"/>
        <v>761m € p/m</v>
      </c>
      <c r="I6" s="35">
        <f t="shared" si="8"/>
        <v>48029</v>
      </c>
      <c r="J6" s="28" t="str">
        <f t="shared" si="9"/>
        <v>112M € - 133M €</v>
      </c>
      <c r="K6" s="96">
        <f t="shared" si="10"/>
        <v>15.507777777777779</v>
      </c>
      <c r="L6" s="144">
        <f t="shared" si="11"/>
        <v>17.366666666666667</v>
      </c>
      <c r="M6" s="144">
        <f t="shared" si="12"/>
        <v>21</v>
      </c>
      <c r="N6" s="144">
        <f t="shared" si="13"/>
        <v>74.428571428571431</v>
      </c>
      <c r="O6" s="184">
        <f t="shared" si="14"/>
        <v>1</v>
      </c>
      <c r="P6" s="6">
        <f t="shared" si="15"/>
        <v>0</v>
      </c>
      <c r="Q6" s="6">
        <f t="shared" si="16"/>
        <v>0</v>
      </c>
      <c r="R6" s="6">
        <f t="shared" si="17"/>
        <v>0</v>
      </c>
      <c r="S6" s="21">
        <f t="shared" si="18"/>
        <v>9.9999999999999995E-8</v>
      </c>
      <c r="T6" s="2">
        <f t="shared" si="19"/>
        <v>4</v>
      </c>
      <c r="U6" s="2">
        <f t="shared" si="20"/>
        <v>11</v>
      </c>
      <c r="V6" s="6">
        <f t="shared" si="21"/>
        <v>15</v>
      </c>
      <c r="W6" s="6">
        <f t="shared" si="107"/>
        <v>36</v>
      </c>
      <c r="X6" s="5">
        <f t="shared" si="108"/>
        <v>2.0729366602687138</v>
      </c>
      <c r="Y6" s="6">
        <f t="shared" si="109"/>
        <v>24</v>
      </c>
      <c r="Z6" s="5">
        <f t="shared" si="110"/>
        <v>1.381957773512476</v>
      </c>
      <c r="AA6" s="6">
        <f t="shared" si="111"/>
        <v>12</v>
      </c>
      <c r="AB6" s="5">
        <f t="shared" si="112"/>
        <v>0.69097888675623798</v>
      </c>
      <c r="AC6" s="6">
        <f t="shared" si="113"/>
        <v>32</v>
      </c>
      <c r="AD6" s="5">
        <f t="shared" si="114"/>
        <v>1.8426103646833012</v>
      </c>
      <c r="AE6" s="21">
        <f t="shared" si="115"/>
        <v>0.33333333333333331</v>
      </c>
      <c r="AF6" s="5">
        <f t="shared" si="116"/>
        <v>9</v>
      </c>
      <c r="AG6" s="5">
        <f t="shared" si="117"/>
        <v>3</v>
      </c>
      <c r="AH6" s="107">
        <f t="shared" si="118"/>
        <v>0.1111111111111111</v>
      </c>
      <c r="AI6" s="318">
        <f t="shared" si="22"/>
        <v>0.1111111111111111</v>
      </c>
      <c r="AJ6" s="354">
        <f t="shared" si="23"/>
        <v>3</v>
      </c>
      <c r="AK6" s="353">
        <f t="shared" si="24"/>
        <v>1</v>
      </c>
      <c r="AL6" s="354">
        <f t="shared" si="25"/>
        <v>0</v>
      </c>
      <c r="AM6" s="357">
        <f t="shared" si="26"/>
        <v>5.7581573896353162E-2</v>
      </c>
      <c r="AN6" s="377">
        <f t="shared" si="27"/>
        <v>10.42</v>
      </c>
      <c r="AO6" s="357">
        <f t="shared" si="28"/>
        <v>0.6</v>
      </c>
      <c r="AP6" s="378">
        <f t="shared" si="29"/>
        <v>9.5969289827255277E-2</v>
      </c>
      <c r="AQ6" s="5">
        <f t="shared" si="30"/>
        <v>5.03</v>
      </c>
      <c r="AR6" s="5">
        <f t="shared" si="31"/>
        <v>0.28963531669865644</v>
      </c>
      <c r="AS6" s="5">
        <f t="shared" si="32"/>
        <v>5.03</v>
      </c>
      <c r="AT6" s="5">
        <f t="shared" si="33"/>
        <v>0.28963531669865644</v>
      </c>
      <c r="AU6" s="5">
        <f t="shared" si="34"/>
        <v>3.92</v>
      </c>
      <c r="AV6" s="5">
        <f t="shared" si="35"/>
        <v>0.22571976967370441</v>
      </c>
      <c r="AW6" s="5">
        <f t="shared" si="36"/>
        <v>8.9499999999999993</v>
      </c>
      <c r="AX6" s="5">
        <f t="shared" si="37"/>
        <v>0.51535508637236083</v>
      </c>
      <c r="AY6" s="2">
        <f t="shared" si="38"/>
        <v>2</v>
      </c>
      <c r="AZ6" s="5">
        <f t="shared" si="39"/>
        <v>781.5</v>
      </c>
      <c r="BA6" s="21">
        <f t="shared" si="40"/>
        <v>0.11516314779270632</v>
      </c>
      <c r="BB6" s="208">
        <f t="shared" si="41"/>
        <v>196.46</v>
      </c>
      <c r="BC6" s="5">
        <f t="shared" si="42"/>
        <v>11.312476007677544</v>
      </c>
      <c r="BD6" s="6">
        <f t="shared" si="43"/>
        <v>57</v>
      </c>
      <c r="BE6" s="5">
        <f t="shared" si="44"/>
        <v>3.2821497120921306</v>
      </c>
      <c r="BF6" s="6">
        <f t="shared" si="45"/>
        <v>50</v>
      </c>
      <c r="BG6" s="5">
        <f t="shared" si="46"/>
        <v>2.8790786948176583</v>
      </c>
      <c r="BH6" s="6">
        <f t="shared" si="47"/>
        <v>44</v>
      </c>
      <c r="BI6" s="5">
        <f t="shared" si="48"/>
        <v>2.5335892514395391</v>
      </c>
      <c r="BJ6" s="6">
        <f t="shared" si="49"/>
        <v>21</v>
      </c>
      <c r="BK6" s="5">
        <f t="shared" si="50"/>
        <v>1.2092130518234165</v>
      </c>
      <c r="BL6" s="6">
        <f t="shared" si="51"/>
        <v>23</v>
      </c>
      <c r="BM6" s="5">
        <f t="shared" si="52"/>
        <v>1.3243761996161227</v>
      </c>
      <c r="BN6" s="20">
        <f t="shared" si="53"/>
        <v>0.47727272727272729</v>
      </c>
      <c r="BO6" s="2">
        <f t="shared" si="54"/>
        <v>20</v>
      </c>
      <c r="BP6" s="5">
        <f t="shared" si="55"/>
        <v>1.1516314779270633</v>
      </c>
      <c r="BQ6" s="2">
        <f t="shared" si="56"/>
        <v>18</v>
      </c>
      <c r="BR6" s="12">
        <f t="shared" si="57"/>
        <v>0.1</v>
      </c>
      <c r="BS6" s="6">
        <f t="shared" si="58"/>
        <v>112</v>
      </c>
      <c r="BT6" s="5">
        <f t="shared" si="59"/>
        <v>6.4491362763915543</v>
      </c>
      <c r="BU6" s="6">
        <f t="shared" si="60"/>
        <v>28</v>
      </c>
      <c r="BV6" s="5">
        <f t="shared" si="61"/>
        <v>1.6122840690978886</v>
      </c>
      <c r="BW6" s="21">
        <f t="shared" si="62"/>
        <v>0.25</v>
      </c>
      <c r="BX6" s="2">
        <f t="shared" si="63"/>
        <v>2</v>
      </c>
      <c r="BY6" s="2">
        <f t="shared" si="64"/>
        <v>0</v>
      </c>
      <c r="BZ6" s="2">
        <f t="shared" si="65"/>
        <v>2</v>
      </c>
      <c r="CA6" s="2">
        <f t="shared" si="66"/>
        <v>43</v>
      </c>
      <c r="CB6" s="2">
        <f t="shared" si="67"/>
        <v>23</v>
      </c>
      <c r="CC6" s="21">
        <f t="shared" si="68"/>
        <v>0.53488372093023251</v>
      </c>
      <c r="CD6" s="21">
        <f t="shared" si="69"/>
        <v>0.9</v>
      </c>
      <c r="CE6" s="6">
        <f t="shared" si="70"/>
        <v>2</v>
      </c>
      <c r="CF6" s="5">
        <f t="shared" si="71"/>
        <v>0.11516314779270632</v>
      </c>
      <c r="CG6" s="178">
        <f t="shared" si="72"/>
        <v>44</v>
      </c>
      <c r="CH6" s="178">
        <f t="shared" si="73"/>
        <v>16</v>
      </c>
      <c r="CI6" s="179">
        <f t="shared" si="74"/>
        <v>0.36363636363636365</v>
      </c>
      <c r="CJ6" s="6">
        <f t="shared" si="75"/>
        <v>1003</v>
      </c>
      <c r="CK6" s="6">
        <f t="shared" si="76"/>
        <v>934</v>
      </c>
      <c r="CL6" s="5">
        <f t="shared" si="77"/>
        <v>49.808061420345489</v>
      </c>
      <c r="CM6" s="6">
        <f t="shared" si="78"/>
        <v>69</v>
      </c>
      <c r="CN6" s="21">
        <f t="shared" si="79"/>
        <v>0.93120638085742768</v>
      </c>
      <c r="CO6" s="6">
        <f t="shared" si="80"/>
        <v>17</v>
      </c>
      <c r="CP6" s="5">
        <f t="shared" si="81"/>
        <v>0.97888675623800381</v>
      </c>
      <c r="CQ6" s="6">
        <f t="shared" si="82"/>
        <v>4</v>
      </c>
      <c r="CR6" s="6">
        <f t="shared" si="83"/>
        <v>13</v>
      </c>
      <c r="CS6" s="20">
        <f t="shared" si="84"/>
        <v>0.23529411764705882</v>
      </c>
      <c r="CT6" s="5">
        <f t="shared" si="85"/>
        <v>66.564299424184256</v>
      </c>
      <c r="CU6" s="6">
        <f t="shared" si="86"/>
        <v>1302.92</v>
      </c>
      <c r="CV6" s="5">
        <f t="shared" si="87"/>
        <v>75.024184261036467</v>
      </c>
      <c r="CW6" s="6">
        <f t="shared" si="88"/>
        <v>1044</v>
      </c>
      <c r="CX6" s="5">
        <f t="shared" si="89"/>
        <v>60.115163147792707</v>
      </c>
      <c r="CY6" s="21">
        <f t="shared" si="90"/>
        <v>0.80127713136646916</v>
      </c>
      <c r="CZ6" s="6">
        <f t="shared" si="91"/>
        <v>64.92</v>
      </c>
      <c r="DA6" s="5">
        <f t="shared" si="92"/>
        <v>3.7381957773512475</v>
      </c>
      <c r="DB6" s="6">
        <f t="shared" si="93"/>
        <v>34</v>
      </c>
      <c r="DC6" s="5">
        <f t="shared" si="94"/>
        <v>1.9577735124760076</v>
      </c>
      <c r="DD6" s="5">
        <f t="shared" si="95"/>
        <v>3.0909090909090908</v>
      </c>
      <c r="DE6" s="21">
        <f t="shared" si="96"/>
        <v>0.3235294117647059</v>
      </c>
      <c r="DF6" s="5">
        <f t="shared" si="97"/>
        <v>0.11529411764705882</v>
      </c>
      <c r="DG6" s="315">
        <f t="shared" si="98"/>
        <v>0.11529411764705882</v>
      </c>
      <c r="DH6" s="6">
        <f t="shared" si="99"/>
        <v>105</v>
      </c>
      <c r="DI6" s="5">
        <f t="shared" si="100"/>
        <v>6.046065259117082</v>
      </c>
      <c r="DJ6" s="152">
        <f t="shared" si="101"/>
        <v>224.1</v>
      </c>
      <c r="DK6" s="5">
        <f t="shared" si="102"/>
        <v>12.904030710172744</v>
      </c>
      <c r="DL6" s="180">
        <f t="shared" si="103"/>
        <v>93</v>
      </c>
      <c r="DM6" s="117">
        <f t="shared" si="104"/>
        <v>5.3550863723608444</v>
      </c>
      <c r="DN6" s="117">
        <f t="shared" si="105"/>
        <v>6.9</v>
      </c>
      <c r="DO6" s="117">
        <f t="shared" si="106"/>
        <v>7.23</v>
      </c>
      <c r="DP6" s="296"/>
      <c r="DQ6" s="292" t="s">
        <v>646</v>
      </c>
      <c r="DR6" s="292" t="s">
        <v>650</v>
      </c>
      <c r="DS6" s="292">
        <v>22</v>
      </c>
      <c r="DT6" s="292" t="s">
        <v>648</v>
      </c>
      <c r="DU6" s="292" t="s">
        <v>614</v>
      </c>
      <c r="DV6" s="292" t="s">
        <v>601</v>
      </c>
      <c r="DW6" s="292" t="s">
        <v>663</v>
      </c>
      <c r="DX6" s="292" t="s">
        <v>664</v>
      </c>
      <c r="DY6" s="293">
        <v>48029</v>
      </c>
      <c r="DZ6" s="292">
        <v>1563</v>
      </c>
      <c r="EA6" s="292" t="s">
        <v>665</v>
      </c>
      <c r="EB6" s="292">
        <v>2</v>
      </c>
      <c r="EC6" s="292">
        <v>0</v>
      </c>
      <c r="ED6" s="292">
        <v>4</v>
      </c>
      <c r="EE6" s="292">
        <v>11</v>
      </c>
      <c r="EF6" s="292">
        <v>2</v>
      </c>
      <c r="EG6" s="292">
        <v>0</v>
      </c>
      <c r="EH6" s="292">
        <v>11</v>
      </c>
      <c r="EI6" s="292">
        <v>1</v>
      </c>
      <c r="EJ6" s="292">
        <v>6.9</v>
      </c>
      <c r="EK6" s="292" t="s">
        <v>701</v>
      </c>
      <c r="EL6" s="292" t="s">
        <v>702</v>
      </c>
      <c r="EM6" s="292">
        <v>20</v>
      </c>
      <c r="EN6" s="292">
        <v>7</v>
      </c>
      <c r="EO6" s="292">
        <v>17</v>
      </c>
      <c r="EP6" s="292">
        <v>4</v>
      </c>
      <c r="EQ6" s="292">
        <v>0</v>
      </c>
      <c r="ER6" s="292">
        <v>1003</v>
      </c>
      <c r="ES6" s="292">
        <v>934</v>
      </c>
      <c r="ET6" s="292">
        <v>34</v>
      </c>
      <c r="EU6" s="292">
        <v>97</v>
      </c>
      <c r="EV6" s="292">
        <v>8</v>
      </c>
      <c r="EW6" s="292">
        <v>36</v>
      </c>
      <c r="EX6" s="292">
        <v>12</v>
      </c>
      <c r="EY6" s="292">
        <v>112</v>
      </c>
      <c r="EZ6" s="292">
        <v>28</v>
      </c>
      <c r="FA6" s="292">
        <v>24</v>
      </c>
      <c r="FB6" s="292">
        <v>21</v>
      </c>
      <c r="FC6" s="292">
        <v>2</v>
      </c>
      <c r="FD6" s="292">
        <v>6</v>
      </c>
      <c r="FE6" s="292">
        <v>38</v>
      </c>
      <c r="FF6" s="292">
        <v>3</v>
      </c>
      <c r="FG6" s="292">
        <v>9</v>
      </c>
      <c r="FH6" s="292">
        <v>7.8</v>
      </c>
      <c r="FI6" s="292">
        <v>0.6</v>
      </c>
      <c r="FJ6" s="292">
        <v>44</v>
      </c>
      <c r="FK6" s="292">
        <v>16</v>
      </c>
      <c r="FL6" s="292">
        <v>1</v>
      </c>
      <c r="FM6" s="292">
        <v>0</v>
      </c>
      <c r="FN6" s="292">
        <v>0</v>
      </c>
      <c r="FO6" s="292" t="s">
        <v>666</v>
      </c>
      <c r="FP6" s="297">
        <v>7.23</v>
      </c>
    </row>
    <row r="7" spans="1:172" ht="24.95" customHeight="1" thickBot="1" x14ac:dyDescent="0.3">
      <c r="A7" s="29" t="str">
        <f t="shared" si="0"/>
        <v>6º</v>
      </c>
      <c r="B7" s="69" t="str">
        <f t="shared" si="1"/>
        <v>Gui</v>
      </c>
      <c r="C7" s="86" t="str">
        <f t="shared" si="2"/>
        <v>POR</v>
      </c>
      <c r="D7" s="99" t="str">
        <f t="shared" si="3"/>
        <v>Pé Direito</v>
      </c>
      <c r="E7" s="28" t="str">
        <f t="shared" si="4"/>
        <v>Almería</v>
      </c>
      <c r="F7" s="166">
        <f t="shared" si="5"/>
        <v>1.84</v>
      </c>
      <c r="G7" s="36">
        <f t="shared" si="6"/>
        <v>24</v>
      </c>
      <c r="H7" s="325" t="str">
        <f t="shared" si="7"/>
        <v>32m € p/m</v>
      </c>
      <c r="I7" s="35">
        <f t="shared" si="8"/>
        <v>47299</v>
      </c>
      <c r="J7" s="28" t="str">
        <f t="shared" si="9"/>
        <v>150m € - 1,5M €</v>
      </c>
      <c r="K7" s="96">
        <f t="shared" si="10"/>
        <v>15.507777777777779</v>
      </c>
      <c r="L7" s="144">
        <f t="shared" si="11"/>
        <v>16.044444444444444</v>
      </c>
      <c r="M7" s="144">
        <f t="shared" si="12"/>
        <v>17</v>
      </c>
      <c r="N7" s="144">
        <f t="shared" si="13"/>
        <v>84.941176470588232</v>
      </c>
      <c r="O7" s="184">
        <f t="shared" si="14"/>
        <v>1</v>
      </c>
      <c r="P7" s="6">
        <f t="shared" si="15"/>
        <v>0</v>
      </c>
      <c r="Q7" s="6">
        <f t="shared" si="16"/>
        <v>0</v>
      </c>
      <c r="R7" s="6">
        <f t="shared" si="17"/>
        <v>0</v>
      </c>
      <c r="S7" s="21">
        <f t="shared" si="18"/>
        <v>9.9999999999999995E-8</v>
      </c>
      <c r="T7" s="2">
        <f t="shared" si="19"/>
        <v>1</v>
      </c>
      <c r="U7" s="2">
        <f t="shared" si="20"/>
        <v>2</v>
      </c>
      <c r="V7" s="6">
        <f t="shared" si="21"/>
        <v>3</v>
      </c>
      <c r="W7" s="6">
        <f t="shared" si="107"/>
        <v>21</v>
      </c>
      <c r="X7" s="5">
        <f t="shared" si="108"/>
        <v>1.3088642659279779</v>
      </c>
      <c r="Y7" s="6">
        <f t="shared" si="109"/>
        <v>17</v>
      </c>
      <c r="Z7" s="5">
        <f t="shared" si="110"/>
        <v>1.0595567867036011</v>
      </c>
      <c r="AA7" s="6">
        <f t="shared" si="111"/>
        <v>4</v>
      </c>
      <c r="AB7" s="5">
        <f t="shared" si="112"/>
        <v>0.24930747922437674</v>
      </c>
      <c r="AC7" s="6">
        <f t="shared" si="113"/>
        <v>20</v>
      </c>
      <c r="AD7" s="5">
        <f t="shared" si="114"/>
        <v>1.2465373961218837</v>
      </c>
      <c r="AE7" s="21">
        <f t="shared" si="115"/>
        <v>0.19047619047619047</v>
      </c>
      <c r="AF7" s="5">
        <f t="shared" si="116"/>
        <v>21</v>
      </c>
      <c r="AG7" s="5">
        <f t="shared" si="117"/>
        <v>4</v>
      </c>
      <c r="AH7" s="107">
        <f t="shared" si="118"/>
        <v>4.7619047619047616E-2</v>
      </c>
      <c r="AI7" s="318">
        <f t="shared" si="22"/>
        <v>4.7619047619047616E-2</v>
      </c>
      <c r="AJ7" s="354">
        <f t="shared" si="23"/>
        <v>0</v>
      </c>
      <c r="AK7" s="353">
        <f t="shared" si="24"/>
        <v>1</v>
      </c>
      <c r="AL7" s="354">
        <f t="shared" si="25"/>
        <v>0</v>
      </c>
      <c r="AM7" s="357">
        <f t="shared" si="26"/>
        <v>6.2326869806094184E-2</v>
      </c>
      <c r="AN7" s="377">
        <f t="shared" si="27"/>
        <v>9.6266666666666669</v>
      </c>
      <c r="AO7" s="357">
        <f t="shared" si="28"/>
        <v>0.6</v>
      </c>
      <c r="AP7" s="378">
        <f t="shared" si="29"/>
        <v>0.10387811634349031</v>
      </c>
      <c r="AQ7" s="5">
        <f t="shared" si="30"/>
        <v>1.53</v>
      </c>
      <c r="AR7" s="5">
        <f t="shared" si="31"/>
        <v>9.53601108033241E-2</v>
      </c>
      <c r="AS7" s="5">
        <f t="shared" si="32"/>
        <v>1.53</v>
      </c>
      <c r="AT7" s="5">
        <f t="shared" si="33"/>
        <v>9.53601108033241E-2</v>
      </c>
      <c r="AU7" s="5">
        <f t="shared" si="34"/>
        <v>3.15</v>
      </c>
      <c r="AV7" s="5">
        <f t="shared" si="35"/>
        <v>0.19632963988919666</v>
      </c>
      <c r="AW7" s="5">
        <f t="shared" si="36"/>
        <v>4.68</v>
      </c>
      <c r="AX7" s="5">
        <f t="shared" si="37"/>
        <v>0.29168975069252079</v>
      </c>
      <c r="AY7" s="2">
        <f t="shared" si="38"/>
        <v>0</v>
      </c>
      <c r="AZ7" s="5">
        <f t="shared" si="39"/>
        <v>5000</v>
      </c>
      <c r="BA7" s="21">
        <f t="shared" si="40"/>
        <v>0</v>
      </c>
      <c r="BB7" s="208">
        <f t="shared" si="41"/>
        <v>236.69777777777776</v>
      </c>
      <c r="BC7" s="5">
        <f t="shared" si="42"/>
        <v>14.752631578947367</v>
      </c>
      <c r="BD7" s="6">
        <f t="shared" si="43"/>
        <v>51</v>
      </c>
      <c r="BE7" s="5">
        <f t="shared" si="44"/>
        <v>3.1786703601108033</v>
      </c>
      <c r="BF7" s="6">
        <f t="shared" si="45"/>
        <v>54</v>
      </c>
      <c r="BG7" s="5">
        <f t="shared" si="46"/>
        <v>3.3656509695290859</v>
      </c>
      <c r="BH7" s="6">
        <f t="shared" si="47"/>
        <v>38</v>
      </c>
      <c r="BI7" s="5">
        <f t="shared" si="48"/>
        <v>2.3684210526315788</v>
      </c>
      <c r="BJ7" s="6">
        <f t="shared" si="49"/>
        <v>21</v>
      </c>
      <c r="BK7" s="5">
        <f t="shared" si="50"/>
        <v>1.3088642659279779</v>
      </c>
      <c r="BL7" s="6">
        <f t="shared" si="51"/>
        <v>17</v>
      </c>
      <c r="BM7" s="5">
        <f t="shared" si="52"/>
        <v>1.0595567867036011</v>
      </c>
      <c r="BN7" s="20">
        <f t="shared" si="53"/>
        <v>0.55263157894736847</v>
      </c>
      <c r="BO7" s="2">
        <f t="shared" si="54"/>
        <v>13</v>
      </c>
      <c r="BP7" s="5">
        <f t="shared" si="55"/>
        <v>0.81024930747922441</v>
      </c>
      <c r="BQ7" s="2">
        <f t="shared" si="56"/>
        <v>13</v>
      </c>
      <c r="BR7" s="12">
        <f t="shared" si="57"/>
        <v>0</v>
      </c>
      <c r="BS7" s="6">
        <f t="shared" si="58"/>
        <v>123</v>
      </c>
      <c r="BT7" s="5">
        <f t="shared" si="59"/>
        <v>7.6662049861495847</v>
      </c>
      <c r="BU7" s="6">
        <f t="shared" si="60"/>
        <v>33</v>
      </c>
      <c r="BV7" s="5">
        <f t="shared" si="61"/>
        <v>2.0567867036011083</v>
      </c>
      <c r="BW7" s="21">
        <f t="shared" si="62"/>
        <v>0.26829268292682928</v>
      </c>
      <c r="BX7" s="2">
        <f t="shared" si="63"/>
        <v>0</v>
      </c>
      <c r="BY7" s="2">
        <f t="shared" si="64"/>
        <v>0</v>
      </c>
      <c r="BZ7" s="2">
        <f t="shared" si="65"/>
        <v>0</v>
      </c>
      <c r="CA7" s="2">
        <f t="shared" si="66"/>
        <v>34</v>
      </c>
      <c r="CB7" s="2">
        <f t="shared" si="67"/>
        <v>21</v>
      </c>
      <c r="CC7" s="21">
        <f t="shared" si="68"/>
        <v>0.61764705882352944</v>
      </c>
      <c r="CD7" s="21">
        <f t="shared" si="69"/>
        <v>1</v>
      </c>
      <c r="CE7" s="6">
        <f t="shared" si="70"/>
        <v>0</v>
      </c>
      <c r="CF7" s="5">
        <f t="shared" si="71"/>
        <v>0</v>
      </c>
      <c r="CG7" s="178">
        <f t="shared" si="72"/>
        <v>0</v>
      </c>
      <c r="CH7" s="178">
        <f t="shared" si="73"/>
        <v>0</v>
      </c>
      <c r="CI7" s="179">
        <f t="shared" si="74"/>
        <v>0</v>
      </c>
      <c r="CJ7" s="6">
        <f t="shared" si="75"/>
        <v>863</v>
      </c>
      <c r="CK7" s="6">
        <f t="shared" si="76"/>
        <v>768</v>
      </c>
      <c r="CL7" s="5">
        <f t="shared" si="77"/>
        <v>41.945983379501385</v>
      </c>
      <c r="CM7" s="6">
        <f t="shared" si="78"/>
        <v>95</v>
      </c>
      <c r="CN7" s="21">
        <f t="shared" si="79"/>
        <v>0.88991888760139048</v>
      </c>
      <c r="CO7" s="6">
        <f t="shared" si="80"/>
        <v>31</v>
      </c>
      <c r="CP7" s="5">
        <f t="shared" si="81"/>
        <v>1.9321329639889198</v>
      </c>
      <c r="CQ7" s="6">
        <f t="shared" si="82"/>
        <v>16</v>
      </c>
      <c r="CR7" s="6">
        <f t="shared" si="83"/>
        <v>15</v>
      </c>
      <c r="CS7" s="20">
        <f t="shared" si="84"/>
        <v>0.5161290322580645</v>
      </c>
      <c r="CT7" s="5">
        <f t="shared" si="85"/>
        <v>61.578947368421055</v>
      </c>
      <c r="CU7" s="6">
        <f t="shared" si="86"/>
        <v>1113.1500000000001</v>
      </c>
      <c r="CV7" s="5">
        <f t="shared" si="87"/>
        <v>69.379155124653749</v>
      </c>
      <c r="CW7" s="6">
        <f t="shared" si="88"/>
        <v>864.25</v>
      </c>
      <c r="CX7" s="5">
        <f t="shared" si="89"/>
        <v>53.8659972299169</v>
      </c>
      <c r="CY7" s="21">
        <f t="shared" si="90"/>
        <v>0.77640030543951843</v>
      </c>
      <c r="CZ7" s="6">
        <f t="shared" si="91"/>
        <v>19.149999999999999</v>
      </c>
      <c r="DA7" s="5">
        <f t="shared" si="92"/>
        <v>1.1935595567867034</v>
      </c>
      <c r="DB7" s="6">
        <f t="shared" si="93"/>
        <v>12</v>
      </c>
      <c r="DC7" s="5">
        <f t="shared" si="94"/>
        <v>0.74792243767313016</v>
      </c>
      <c r="DD7" s="5">
        <f t="shared" si="95"/>
        <v>6</v>
      </c>
      <c r="DE7" s="21">
        <f t="shared" si="96"/>
        <v>0.16666666666666666</v>
      </c>
      <c r="DF7" s="5">
        <f t="shared" si="97"/>
        <v>0.26250000000000001</v>
      </c>
      <c r="DG7" s="315">
        <f t="shared" si="98"/>
        <v>0.26250000000000001</v>
      </c>
      <c r="DH7" s="6">
        <f t="shared" si="99"/>
        <v>45</v>
      </c>
      <c r="DI7" s="5">
        <f t="shared" si="100"/>
        <v>2.8047091412742384</v>
      </c>
      <c r="DJ7" s="152">
        <f t="shared" si="101"/>
        <v>192</v>
      </c>
      <c r="DK7" s="5">
        <f t="shared" si="102"/>
        <v>11.966759002770083</v>
      </c>
      <c r="DL7" s="180">
        <f t="shared" si="103"/>
        <v>112</v>
      </c>
      <c r="DM7" s="117">
        <f t="shared" si="104"/>
        <v>6.9806094182825484</v>
      </c>
      <c r="DN7" s="117">
        <f t="shared" si="105"/>
        <v>5.0999999999999996</v>
      </c>
      <c r="DO7" s="117">
        <f t="shared" si="106"/>
        <v>7.05</v>
      </c>
      <c r="DP7" s="296"/>
      <c r="DQ7" s="292" t="s">
        <v>617</v>
      </c>
      <c r="DR7" s="292" t="s">
        <v>676</v>
      </c>
      <c r="DS7" s="292">
        <v>24</v>
      </c>
      <c r="DT7" s="292" t="s">
        <v>667</v>
      </c>
      <c r="DU7" s="292" t="s">
        <v>556</v>
      </c>
      <c r="DV7" s="292" t="s">
        <v>601</v>
      </c>
      <c r="DW7" s="292" t="s">
        <v>672</v>
      </c>
      <c r="DX7" s="292" t="s">
        <v>615</v>
      </c>
      <c r="DY7" s="293">
        <v>47299</v>
      </c>
      <c r="DZ7" s="292">
        <v>1444</v>
      </c>
      <c r="EA7" s="292">
        <v>17</v>
      </c>
      <c r="EB7" s="292">
        <v>0</v>
      </c>
      <c r="EC7" s="292">
        <v>0</v>
      </c>
      <c r="ED7" s="292">
        <v>1</v>
      </c>
      <c r="EE7" s="292">
        <v>2</v>
      </c>
      <c r="EF7" s="292">
        <v>0</v>
      </c>
      <c r="EG7" s="292">
        <v>0</v>
      </c>
      <c r="EH7" s="292">
        <v>4</v>
      </c>
      <c r="EI7" s="292">
        <v>1</v>
      </c>
      <c r="EJ7" s="292">
        <v>5.0999999999999996</v>
      </c>
      <c r="EK7" s="292" t="s">
        <v>706</v>
      </c>
      <c r="EL7" s="292" t="s">
        <v>707</v>
      </c>
      <c r="EM7" s="292">
        <v>13</v>
      </c>
      <c r="EN7" s="292">
        <v>10</v>
      </c>
      <c r="EO7" s="292">
        <v>31</v>
      </c>
      <c r="EP7" s="292">
        <v>16</v>
      </c>
      <c r="EQ7" s="292">
        <v>0.1</v>
      </c>
      <c r="ER7" s="292">
        <v>863</v>
      </c>
      <c r="ES7" s="292">
        <v>768</v>
      </c>
      <c r="ET7" s="292">
        <v>12</v>
      </c>
      <c r="EU7" s="292">
        <v>80</v>
      </c>
      <c r="EV7" s="292">
        <v>8</v>
      </c>
      <c r="EW7" s="292">
        <v>21</v>
      </c>
      <c r="EX7" s="292">
        <v>4</v>
      </c>
      <c r="EY7" s="292">
        <v>123</v>
      </c>
      <c r="EZ7" s="292">
        <v>33</v>
      </c>
      <c r="FA7" s="292">
        <v>25</v>
      </c>
      <c r="FB7" s="292">
        <v>21</v>
      </c>
      <c r="FC7" s="292">
        <v>0</v>
      </c>
      <c r="FD7" s="292">
        <v>3</v>
      </c>
      <c r="FE7" s="292">
        <v>36</v>
      </c>
      <c r="FF7" s="292">
        <v>1</v>
      </c>
      <c r="FG7" s="292">
        <v>11</v>
      </c>
      <c r="FH7" s="292">
        <v>11.2</v>
      </c>
      <c r="FI7" s="292">
        <v>0.6</v>
      </c>
      <c r="FJ7" s="292">
        <v>0</v>
      </c>
      <c r="FK7" s="292">
        <v>0</v>
      </c>
      <c r="FL7" s="292">
        <v>0</v>
      </c>
      <c r="FM7" s="292">
        <v>0</v>
      </c>
      <c r="FN7" s="292">
        <v>0</v>
      </c>
      <c r="FO7" s="292" t="s">
        <v>654</v>
      </c>
      <c r="FP7" s="297">
        <v>7.05</v>
      </c>
    </row>
    <row r="8" spans="1:172" ht="24.95" customHeight="1" thickBot="1" x14ac:dyDescent="0.3">
      <c r="A8" s="29" t="str">
        <f t="shared" si="0"/>
        <v>7º</v>
      </c>
      <c r="B8" s="69" t="str">
        <f t="shared" si="1"/>
        <v>Iker Muñoz</v>
      </c>
      <c r="C8" s="86" t="str">
        <f t="shared" si="2"/>
        <v>ESP</v>
      </c>
      <c r="D8" s="99" t="str">
        <f t="shared" si="3"/>
        <v>Pé Direito</v>
      </c>
      <c r="E8" s="28" t="str">
        <f t="shared" si="4"/>
        <v>Osasuna</v>
      </c>
      <c r="F8" s="166">
        <f t="shared" si="5"/>
        <v>1.79</v>
      </c>
      <c r="G8" s="36">
        <f t="shared" si="6"/>
        <v>24</v>
      </c>
      <c r="H8" s="325" t="str">
        <f t="shared" si="7"/>
        <v>55m € p/m</v>
      </c>
      <c r="I8" s="35">
        <f t="shared" si="8"/>
        <v>47664</v>
      </c>
      <c r="J8" s="28" t="str">
        <f t="shared" si="9"/>
        <v>8,8M €</v>
      </c>
      <c r="K8" s="96">
        <f t="shared" si="10"/>
        <v>15.507777777777779</v>
      </c>
      <c r="L8" s="144">
        <f t="shared" si="11"/>
        <v>15.877777777777778</v>
      </c>
      <c r="M8" s="144">
        <f t="shared" si="12"/>
        <v>18</v>
      </c>
      <c r="N8" s="144">
        <f t="shared" si="13"/>
        <v>79.388888888888886</v>
      </c>
      <c r="O8" s="184">
        <f t="shared" si="14"/>
        <v>1</v>
      </c>
      <c r="P8" s="6">
        <f t="shared" si="15"/>
        <v>0</v>
      </c>
      <c r="Q8" s="6">
        <f t="shared" si="16"/>
        <v>0</v>
      </c>
      <c r="R8" s="6">
        <f t="shared" si="17"/>
        <v>0</v>
      </c>
      <c r="S8" s="21">
        <f t="shared" si="18"/>
        <v>9.9999999999999995E-8</v>
      </c>
      <c r="T8" s="2">
        <f t="shared" si="19"/>
        <v>1</v>
      </c>
      <c r="U8" s="2">
        <f t="shared" si="20"/>
        <v>3</v>
      </c>
      <c r="V8" s="6">
        <f t="shared" si="21"/>
        <v>4</v>
      </c>
      <c r="W8" s="6">
        <f t="shared" si="107"/>
        <v>12</v>
      </c>
      <c r="X8" s="5">
        <f t="shared" si="108"/>
        <v>0.7557732680195941</v>
      </c>
      <c r="Y8" s="6">
        <f t="shared" si="109"/>
        <v>8</v>
      </c>
      <c r="Z8" s="5">
        <f t="shared" si="110"/>
        <v>0.50384884534639607</v>
      </c>
      <c r="AA8" s="6">
        <f t="shared" si="111"/>
        <v>4</v>
      </c>
      <c r="AB8" s="5">
        <f t="shared" si="112"/>
        <v>0.25192442267319803</v>
      </c>
      <c r="AC8" s="6">
        <f t="shared" si="113"/>
        <v>11</v>
      </c>
      <c r="AD8" s="5">
        <f t="shared" si="114"/>
        <v>0.69279216235129459</v>
      </c>
      <c r="AE8" s="21">
        <f t="shared" si="115"/>
        <v>0.33333333333333331</v>
      </c>
      <c r="AF8" s="5">
        <f t="shared" si="116"/>
        <v>12</v>
      </c>
      <c r="AG8" s="5">
        <f t="shared" si="117"/>
        <v>4</v>
      </c>
      <c r="AH8" s="107">
        <f t="shared" si="118"/>
        <v>8.3333333333333329E-2</v>
      </c>
      <c r="AI8" s="318">
        <f t="shared" si="22"/>
        <v>8.3333333333333329E-2</v>
      </c>
      <c r="AJ8" s="354">
        <f t="shared" si="23"/>
        <v>0</v>
      </c>
      <c r="AK8" s="353">
        <f t="shared" si="24"/>
        <v>1</v>
      </c>
      <c r="AL8" s="354">
        <f t="shared" si="25"/>
        <v>0</v>
      </c>
      <c r="AM8" s="357">
        <f t="shared" si="26"/>
        <v>6.2981105668299509E-2</v>
      </c>
      <c r="AN8" s="377">
        <f t="shared" si="27"/>
        <v>9.5266666666666673</v>
      </c>
      <c r="AO8" s="357">
        <f t="shared" si="28"/>
        <v>0.6</v>
      </c>
      <c r="AP8" s="378">
        <f t="shared" si="29"/>
        <v>0.10496850944716585</v>
      </c>
      <c r="AQ8" s="5">
        <f t="shared" si="30"/>
        <v>0.6</v>
      </c>
      <c r="AR8" s="5">
        <f t="shared" si="31"/>
        <v>3.7788663400979701E-2</v>
      </c>
      <c r="AS8" s="5">
        <f t="shared" si="32"/>
        <v>0.6</v>
      </c>
      <c r="AT8" s="5">
        <f t="shared" si="33"/>
        <v>3.7788663400979701E-2</v>
      </c>
      <c r="AU8" s="5">
        <f t="shared" si="34"/>
        <v>1.64</v>
      </c>
      <c r="AV8" s="5">
        <f t="shared" si="35"/>
        <v>0.10328901329601119</v>
      </c>
      <c r="AW8" s="5">
        <f t="shared" si="36"/>
        <v>2.2399999999999998</v>
      </c>
      <c r="AX8" s="5">
        <f t="shared" si="37"/>
        <v>0.14107767669699089</v>
      </c>
      <c r="AY8" s="2">
        <f t="shared" si="38"/>
        <v>1</v>
      </c>
      <c r="AZ8" s="5">
        <f t="shared" si="39"/>
        <v>1429</v>
      </c>
      <c r="BA8" s="21">
        <f t="shared" si="40"/>
        <v>6.2981105668299509E-2</v>
      </c>
      <c r="BB8" s="208">
        <f t="shared" si="41"/>
        <v>215.42666666666668</v>
      </c>
      <c r="BC8" s="5">
        <f t="shared" si="42"/>
        <v>13.567809657102869</v>
      </c>
      <c r="BD8" s="6">
        <f t="shared" si="43"/>
        <v>71.5</v>
      </c>
      <c r="BE8" s="5">
        <f t="shared" si="44"/>
        <v>4.5031490552834148</v>
      </c>
      <c r="BF8" s="6">
        <f t="shared" si="45"/>
        <v>56.5</v>
      </c>
      <c r="BG8" s="5">
        <f t="shared" si="46"/>
        <v>3.5584324702589223</v>
      </c>
      <c r="BH8" s="6">
        <f t="shared" si="47"/>
        <v>31</v>
      </c>
      <c r="BI8" s="5">
        <f t="shared" si="48"/>
        <v>1.9524142757172847</v>
      </c>
      <c r="BJ8" s="6">
        <f t="shared" si="49"/>
        <v>16</v>
      </c>
      <c r="BK8" s="5">
        <f t="shared" si="50"/>
        <v>1.0076976906927921</v>
      </c>
      <c r="BL8" s="6">
        <f t="shared" si="51"/>
        <v>15</v>
      </c>
      <c r="BM8" s="5">
        <f t="shared" si="52"/>
        <v>0.94471658502449263</v>
      </c>
      <c r="BN8" s="20">
        <f t="shared" si="53"/>
        <v>0.5161290322580645</v>
      </c>
      <c r="BO8" s="2">
        <f t="shared" si="54"/>
        <v>3</v>
      </c>
      <c r="BP8" s="5">
        <f t="shared" si="55"/>
        <v>0.18894331700489853</v>
      </c>
      <c r="BQ8" s="2">
        <f t="shared" si="56"/>
        <v>3</v>
      </c>
      <c r="BR8" s="12">
        <f t="shared" si="57"/>
        <v>0</v>
      </c>
      <c r="BS8" s="6">
        <f t="shared" si="58"/>
        <v>138</v>
      </c>
      <c r="BT8" s="5">
        <f t="shared" si="59"/>
        <v>8.6913925822253315</v>
      </c>
      <c r="BU8" s="6">
        <f t="shared" si="60"/>
        <v>39</v>
      </c>
      <c r="BV8" s="5">
        <f t="shared" si="61"/>
        <v>2.4562631210636807</v>
      </c>
      <c r="BW8" s="21">
        <f t="shared" si="62"/>
        <v>0.28260869565217389</v>
      </c>
      <c r="BX8" s="2">
        <f t="shared" si="63"/>
        <v>0</v>
      </c>
      <c r="BY8" s="2">
        <f t="shared" si="64"/>
        <v>0</v>
      </c>
      <c r="BZ8" s="2">
        <f t="shared" si="65"/>
        <v>0</v>
      </c>
      <c r="CA8" s="2">
        <f t="shared" si="66"/>
        <v>22</v>
      </c>
      <c r="CB8" s="2">
        <f t="shared" si="67"/>
        <v>19</v>
      </c>
      <c r="CC8" s="21">
        <f t="shared" si="68"/>
        <v>0.86363636363636365</v>
      </c>
      <c r="CD8" s="21">
        <f t="shared" si="69"/>
        <v>1</v>
      </c>
      <c r="CE8" s="6">
        <f t="shared" si="70"/>
        <v>3</v>
      </c>
      <c r="CF8" s="5">
        <f t="shared" si="71"/>
        <v>0.18894331700489853</v>
      </c>
      <c r="CG8" s="178">
        <f t="shared" si="72"/>
        <v>8</v>
      </c>
      <c r="CH8" s="178">
        <f t="shared" si="73"/>
        <v>2</v>
      </c>
      <c r="CI8" s="179">
        <f t="shared" si="74"/>
        <v>0.25</v>
      </c>
      <c r="CJ8" s="6">
        <f t="shared" si="75"/>
        <v>1010</v>
      </c>
      <c r="CK8" s="6">
        <f t="shared" si="76"/>
        <v>943</v>
      </c>
      <c r="CL8" s="5">
        <f t="shared" si="77"/>
        <v>55.171448565430367</v>
      </c>
      <c r="CM8" s="6">
        <f t="shared" si="78"/>
        <v>67</v>
      </c>
      <c r="CN8" s="21">
        <f t="shared" si="79"/>
        <v>0.93366336633663372</v>
      </c>
      <c r="CO8" s="6">
        <f t="shared" si="80"/>
        <v>29</v>
      </c>
      <c r="CP8" s="5">
        <f t="shared" si="81"/>
        <v>1.8264520643806856</v>
      </c>
      <c r="CQ8" s="6">
        <f t="shared" si="82"/>
        <v>18</v>
      </c>
      <c r="CR8" s="6">
        <f t="shared" si="83"/>
        <v>11</v>
      </c>
      <c r="CS8" s="20">
        <f t="shared" si="84"/>
        <v>0.62068965517241381</v>
      </c>
      <c r="CT8" s="5">
        <f t="shared" si="85"/>
        <v>72.176347095871236</v>
      </c>
      <c r="CU8" s="6">
        <f t="shared" si="86"/>
        <v>1251.6400000000001</v>
      </c>
      <c r="CV8" s="5">
        <f t="shared" si="87"/>
        <v>78.829671098670403</v>
      </c>
      <c r="CW8" s="6">
        <f t="shared" si="88"/>
        <v>1042.25</v>
      </c>
      <c r="CX8" s="5">
        <f t="shared" si="89"/>
        <v>65.642057382785168</v>
      </c>
      <c r="CY8" s="21">
        <f t="shared" si="90"/>
        <v>0.83270748777603776</v>
      </c>
      <c r="CZ8" s="6">
        <f t="shared" si="91"/>
        <v>30.64</v>
      </c>
      <c r="DA8" s="5">
        <f t="shared" si="92"/>
        <v>1.929741077676697</v>
      </c>
      <c r="DB8" s="6">
        <f t="shared" si="93"/>
        <v>25</v>
      </c>
      <c r="DC8" s="5">
        <f t="shared" si="94"/>
        <v>1.5745276417074876</v>
      </c>
      <c r="DD8" s="5">
        <f t="shared" si="95"/>
        <v>8.3333333333333339</v>
      </c>
      <c r="DE8" s="21">
        <f t="shared" si="96"/>
        <v>0.12</v>
      </c>
      <c r="DF8" s="5">
        <f t="shared" si="97"/>
        <v>6.5599999999999992E-2</v>
      </c>
      <c r="DG8" s="315">
        <f t="shared" si="98"/>
        <v>6.5599999999999992E-2</v>
      </c>
      <c r="DH8" s="6">
        <f t="shared" si="99"/>
        <v>42</v>
      </c>
      <c r="DI8" s="5">
        <f t="shared" si="100"/>
        <v>2.6452064380685791</v>
      </c>
      <c r="DJ8" s="152">
        <f t="shared" si="101"/>
        <v>189.9</v>
      </c>
      <c r="DK8" s="5">
        <f t="shared" si="102"/>
        <v>11.960111966410077</v>
      </c>
      <c r="DL8" s="180">
        <f t="shared" si="103"/>
        <v>75</v>
      </c>
      <c r="DM8" s="117">
        <f t="shared" si="104"/>
        <v>4.7235829251224635</v>
      </c>
      <c r="DN8" s="117">
        <f t="shared" si="105"/>
        <v>8.3000000000000007</v>
      </c>
      <c r="DO8" s="117">
        <f t="shared" si="106"/>
        <v>7.02</v>
      </c>
      <c r="DP8" s="298"/>
      <c r="DQ8" s="294" t="s">
        <v>646</v>
      </c>
      <c r="DR8" s="294" t="s">
        <v>677</v>
      </c>
      <c r="DS8" s="294">
        <v>24</v>
      </c>
      <c r="DT8" s="294" t="s">
        <v>652</v>
      </c>
      <c r="DU8" s="294" t="s">
        <v>583</v>
      </c>
      <c r="DV8" s="294" t="s">
        <v>601</v>
      </c>
      <c r="DW8" s="294" t="s">
        <v>645</v>
      </c>
      <c r="DX8" s="294" t="s">
        <v>678</v>
      </c>
      <c r="DY8" s="295">
        <v>47664</v>
      </c>
      <c r="DZ8" s="294">
        <v>1429</v>
      </c>
      <c r="EA8" s="294">
        <v>18</v>
      </c>
      <c r="EB8" s="294">
        <v>1</v>
      </c>
      <c r="EC8" s="294">
        <v>0</v>
      </c>
      <c r="ED8" s="294">
        <v>1</v>
      </c>
      <c r="EE8" s="294">
        <v>3</v>
      </c>
      <c r="EF8" s="294">
        <v>0</v>
      </c>
      <c r="EG8" s="294">
        <v>0</v>
      </c>
      <c r="EH8" s="294">
        <v>2</v>
      </c>
      <c r="EI8" s="294">
        <v>1</v>
      </c>
      <c r="EJ8" s="294">
        <v>8.3000000000000007</v>
      </c>
      <c r="EK8" s="294" t="s">
        <v>708</v>
      </c>
      <c r="EL8" s="294" t="s">
        <v>709</v>
      </c>
      <c r="EM8" s="294">
        <v>3</v>
      </c>
      <c r="EN8" s="294">
        <v>12</v>
      </c>
      <c r="EO8" s="294">
        <v>29</v>
      </c>
      <c r="EP8" s="294">
        <v>18</v>
      </c>
      <c r="EQ8" s="294">
        <v>0.3</v>
      </c>
      <c r="ER8" s="294">
        <v>1010</v>
      </c>
      <c r="ES8" s="294">
        <v>943</v>
      </c>
      <c r="ET8" s="294">
        <v>25</v>
      </c>
      <c r="EU8" s="294">
        <v>122</v>
      </c>
      <c r="EV8" s="294">
        <v>1</v>
      </c>
      <c r="EW8" s="294">
        <v>12</v>
      </c>
      <c r="EX8" s="294">
        <v>4</v>
      </c>
      <c r="EY8" s="294">
        <v>138</v>
      </c>
      <c r="EZ8" s="294">
        <v>39</v>
      </c>
      <c r="FA8" s="294">
        <v>28</v>
      </c>
      <c r="FB8" s="294">
        <v>16</v>
      </c>
      <c r="FC8" s="294">
        <v>3</v>
      </c>
      <c r="FD8" s="294">
        <v>8</v>
      </c>
      <c r="FE8" s="294">
        <v>44</v>
      </c>
      <c r="FF8" s="294">
        <v>3</v>
      </c>
      <c r="FG8" s="294">
        <v>15</v>
      </c>
      <c r="FH8" s="294">
        <v>9.6</v>
      </c>
      <c r="FI8" s="294">
        <v>0.6</v>
      </c>
      <c r="FJ8" s="294">
        <v>8</v>
      </c>
      <c r="FK8" s="294">
        <v>2</v>
      </c>
      <c r="FL8" s="294">
        <v>0</v>
      </c>
      <c r="FM8" s="294">
        <v>0</v>
      </c>
      <c r="FN8" s="294">
        <v>0</v>
      </c>
      <c r="FO8" s="294" t="s">
        <v>679</v>
      </c>
      <c r="FP8" s="299">
        <v>7.02</v>
      </c>
    </row>
    <row r="9" spans="1:172" ht="24.95" customHeight="1" thickBot="1" x14ac:dyDescent="0.3">
      <c r="A9" s="29" t="str">
        <f t="shared" si="0"/>
        <v>8º</v>
      </c>
      <c r="B9" s="69" t="str">
        <f t="shared" si="1"/>
        <v>Jude Bellingham</v>
      </c>
      <c r="C9" s="86" t="str">
        <f t="shared" si="2"/>
        <v>ENG</v>
      </c>
      <c r="D9" s="99" t="str">
        <f t="shared" si="3"/>
        <v>Pé Direito</v>
      </c>
      <c r="E9" s="28" t="str">
        <f t="shared" si="4"/>
        <v>Real Madrid</v>
      </c>
      <c r="F9" s="166">
        <f t="shared" si="5"/>
        <v>1.86</v>
      </c>
      <c r="G9" s="36">
        <f t="shared" si="6"/>
        <v>23</v>
      </c>
      <c r="H9" s="325" t="str">
        <f t="shared" si="7"/>
        <v>1,84M € p/m</v>
      </c>
      <c r="I9" s="35">
        <f t="shared" si="8"/>
        <v>48029</v>
      </c>
      <c r="J9" s="28" t="str">
        <f t="shared" si="9"/>
        <v>344M € - 375M €</v>
      </c>
      <c r="K9" s="96">
        <f t="shared" si="10"/>
        <v>15.507777777777779</v>
      </c>
      <c r="L9" s="144">
        <f t="shared" si="11"/>
        <v>14.78888888888889</v>
      </c>
      <c r="M9" s="144">
        <f t="shared" si="12"/>
        <v>16</v>
      </c>
      <c r="N9" s="144">
        <f t="shared" si="13"/>
        <v>83.1875</v>
      </c>
      <c r="O9" s="184">
        <f t="shared" si="14"/>
        <v>1</v>
      </c>
      <c r="P9" s="6">
        <f t="shared" si="15"/>
        <v>1</v>
      </c>
      <c r="Q9" s="6">
        <f t="shared" si="16"/>
        <v>1</v>
      </c>
      <c r="R9" s="6">
        <f t="shared" si="17"/>
        <v>0</v>
      </c>
      <c r="S9" s="21">
        <f t="shared" si="18"/>
        <v>1</v>
      </c>
      <c r="T9" s="2">
        <f t="shared" si="19"/>
        <v>5</v>
      </c>
      <c r="U9" s="2">
        <f t="shared" si="20"/>
        <v>2</v>
      </c>
      <c r="V9" s="6">
        <f t="shared" si="21"/>
        <v>7</v>
      </c>
      <c r="W9" s="6">
        <f t="shared" si="107"/>
        <v>30</v>
      </c>
      <c r="X9" s="5">
        <f t="shared" si="108"/>
        <v>2.0285499624342598</v>
      </c>
      <c r="Y9" s="6">
        <f t="shared" si="109"/>
        <v>15</v>
      </c>
      <c r="Z9" s="5">
        <f t="shared" si="110"/>
        <v>1.0142749812171299</v>
      </c>
      <c r="AA9" s="6">
        <f t="shared" si="111"/>
        <v>15</v>
      </c>
      <c r="AB9" s="5">
        <f t="shared" si="112"/>
        <v>1.0142749812171299</v>
      </c>
      <c r="AC9" s="6">
        <f t="shared" si="113"/>
        <v>25</v>
      </c>
      <c r="AD9" s="5">
        <f t="shared" si="114"/>
        <v>1.69045830202855</v>
      </c>
      <c r="AE9" s="21">
        <f t="shared" si="115"/>
        <v>0.5</v>
      </c>
      <c r="AF9" s="5">
        <f t="shared" si="116"/>
        <v>7.25</v>
      </c>
      <c r="AG9" s="5">
        <f t="shared" si="117"/>
        <v>3.5</v>
      </c>
      <c r="AH9" s="107">
        <f t="shared" si="118"/>
        <v>0.13793103448275862</v>
      </c>
      <c r="AI9" s="318">
        <f t="shared" si="22"/>
        <v>0.16666666666666666</v>
      </c>
      <c r="AJ9" s="354">
        <f t="shared" si="23"/>
        <v>3</v>
      </c>
      <c r="AK9" s="353">
        <f t="shared" si="24"/>
        <v>1</v>
      </c>
      <c r="AL9" s="354">
        <f t="shared" si="25"/>
        <v>1</v>
      </c>
      <c r="AM9" s="357">
        <f t="shared" si="26"/>
        <v>6.7618332081141999E-2</v>
      </c>
      <c r="AN9" s="377">
        <f t="shared" si="27"/>
        <v>10.352222222222222</v>
      </c>
      <c r="AO9" s="357">
        <f t="shared" si="28"/>
        <v>0.7</v>
      </c>
      <c r="AP9" s="378">
        <f t="shared" si="29"/>
        <v>9.659761725877429E-2</v>
      </c>
      <c r="AQ9" s="5">
        <f t="shared" si="30"/>
        <v>3.86</v>
      </c>
      <c r="AR9" s="5">
        <f t="shared" si="31"/>
        <v>0.26100676183320809</v>
      </c>
      <c r="AS9" s="5">
        <f t="shared" si="32"/>
        <v>3.07</v>
      </c>
      <c r="AT9" s="5">
        <f t="shared" si="33"/>
        <v>0.20758827948910591</v>
      </c>
      <c r="AU9" s="5">
        <f t="shared" si="34"/>
        <v>4.3899999999999997</v>
      </c>
      <c r="AV9" s="5">
        <f t="shared" si="35"/>
        <v>0.29684447783621332</v>
      </c>
      <c r="AW9" s="5">
        <f t="shared" si="36"/>
        <v>7.4599999999999991</v>
      </c>
      <c r="AX9" s="5">
        <f t="shared" si="37"/>
        <v>0.50443275732531923</v>
      </c>
      <c r="AY9" s="2">
        <f t="shared" si="38"/>
        <v>1</v>
      </c>
      <c r="AZ9" s="5">
        <f t="shared" si="39"/>
        <v>1331</v>
      </c>
      <c r="BA9" s="21">
        <f t="shared" si="40"/>
        <v>6.7618332081141999E-2</v>
      </c>
      <c r="BB9" s="208">
        <f t="shared" si="41"/>
        <v>95.944444444444443</v>
      </c>
      <c r="BC9" s="5">
        <f t="shared" si="42"/>
        <v>6.4876033057851235</v>
      </c>
      <c r="BD9" s="6">
        <f t="shared" si="43"/>
        <v>23.5</v>
      </c>
      <c r="BE9" s="5">
        <f t="shared" si="44"/>
        <v>1.5890308039068368</v>
      </c>
      <c r="BF9" s="6">
        <f t="shared" si="45"/>
        <v>19.5</v>
      </c>
      <c r="BG9" s="5">
        <f t="shared" si="46"/>
        <v>1.3185574755822689</v>
      </c>
      <c r="BH9" s="6">
        <f t="shared" si="47"/>
        <v>16</v>
      </c>
      <c r="BI9" s="5">
        <f t="shared" si="48"/>
        <v>1.081893313298272</v>
      </c>
      <c r="BJ9" s="6">
        <f t="shared" si="49"/>
        <v>5</v>
      </c>
      <c r="BK9" s="5">
        <f t="shared" si="50"/>
        <v>0.33809166040570998</v>
      </c>
      <c r="BL9" s="6">
        <f t="shared" si="51"/>
        <v>11</v>
      </c>
      <c r="BM9" s="5">
        <f t="shared" si="52"/>
        <v>0.74380165289256195</v>
      </c>
      <c r="BN9" s="20">
        <f t="shared" si="53"/>
        <v>0.3125</v>
      </c>
      <c r="BO9" s="2">
        <f t="shared" si="54"/>
        <v>5</v>
      </c>
      <c r="BP9" s="5">
        <f t="shared" si="55"/>
        <v>0.33809166040570998</v>
      </c>
      <c r="BQ9" s="2">
        <f t="shared" si="56"/>
        <v>5</v>
      </c>
      <c r="BR9" s="12">
        <f t="shared" si="57"/>
        <v>0</v>
      </c>
      <c r="BS9" s="6">
        <f t="shared" si="58"/>
        <v>50</v>
      </c>
      <c r="BT9" s="5">
        <f t="shared" si="59"/>
        <v>3.3809166040570999</v>
      </c>
      <c r="BU9" s="6">
        <f t="shared" si="60"/>
        <v>14</v>
      </c>
      <c r="BV9" s="5">
        <f t="shared" si="61"/>
        <v>0.9466566491359879</v>
      </c>
      <c r="BW9" s="21">
        <f t="shared" si="62"/>
        <v>0.28000000000000003</v>
      </c>
      <c r="BX9" s="2">
        <f t="shared" si="63"/>
        <v>0</v>
      </c>
      <c r="BY9" s="2">
        <f t="shared" si="64"/>
        <v>0</v>
      </c>
      <c r="BZ9" s="2">
        <f t="shared" si="65"/>
        <v>0</v>
      </c>
      <c r="CA9" s="2">
        <f t="shared" si="66"/>
        <v>11</v>
      </c>
      <c r="CB9" s="2">
        <f t="shared" si="67"/>
        <v>6</v>
      </c>
      <c r="CC9" s="21">
        <f t="shared" si="68"/>
        <v>0.54545454545454541</v>
      </c>
      <c r="CD9" s="21">
        <f t="shared" si="69"/>
        <v>1</v>
      </c>
      <c r="CE9" s="6">
        <f t="shared" si="70"/>
        <v>1</v>
      </c>
      <c r="CF9" s="5">
        <f t="shared" si="71"/>
        <v>6.7618332081141999E-2</v>
      </c>
      <c r="CG9" s="178">
        <f t="shared" si="72"/>
        <v>19</v>
      </c>
      <c r="CH9" s="178">
        <f t="shared" si="73"/>
        <v>4</v>
      </c>
      <c r="CI9" s="179">
        <f t="shared" si="74"/>
        <v>0.21052631578947367</v>
      </c>
      <c r="CJ9" s="6">
        <f t="shared" si="75"/>
        <v>656</v>
      </c>
      <c r="CK9" s="6">
        <f t="shared" si="76"/>
        <v>592</v>
      </c>
      <c r="CL9" s="5">
        <f t="shared" si="77"/>
        <v>35.70247933884297</v>
      </c>
      <c r="CM9" s="6">
        <f t="shared" si="78"/>
        <v>64</v>
      </c>
      <c r="CN9" s="21">
        <f t="shared" si="79"/>
        <v>0.90243902439024393</v>
      </c>
      <c r="CO9" s="6">
        <f t="shared" si="80"/>
        <v>44</v>
      </c>
      <c r="CP9" s="5">
        <f t="shared" si="81"/>
        <v>2.9752066115702478</v>
      </c>
      <c r="CQ9" s="6">
        <f t="shared" si="82"/>
        <v>14</v>
      </c>
      <c r="CR9" s="6">
        <f t="shared" si="83"/>
        <v>30</v>
      </c>
      <c r="CS9" s="20">
        <f t="shared" si="84"/>
        <v>0.31818181818181818</v>
      </c>
      <c r="CT9" s="5">
        <f t="shared" si="85"/>
        <v>54.094665664913599</v>
      </c>
      <c r="CU9" s="6">
        <f t="shared" si="86"/>
        <v>830.39</v>
      </c>
      <c r="CV9" s="5">
        <f t="shared" si="87"/>
        <v>56.149586776859501</v>
      </c>
      <c r="CW9" s="6">
        <f t="shared" si="88"/>
        <v>657.5</v>
      </c>
      <c r="CX9" s="5">
        <f t="shared" si="89"/>
        <v>44.45905334335086</v>
      </c>
      <c r="CY9" s="21">
        <f t="shared" si="90"/>
        <v>0.79179662568190856</v>
      </c>
      <c r="CZ9" s="6">
        <f t="shared" si="91"/>
        <v>56.39</v>
      </c>
      <c r="DA9" s="5">
        <f t="shared" si="92"/>
        <v>3.812997746055597</v>
      </c>
      <c r="DB9" s="6">
        <f t="shared" si="93"/>
        <v>36</v>
      </c>
      <c r="DC9" s="5">
        <f t="shared" si="94"/>
        <v>2.4342599549211119</v>
      </c>
      <c r="DD9" s="5">
        <f t="shared" si="95"/>
        <v>18</v>
      </c>
      <c r="DE9" s="21">
        <f t="shared" si="96"/>
        <v>5.5555555555555552E-2</v>
      </c>
      <c r="DF9" s="5">
        <f t="shared" si="97"/>
        <v>0.12194444444444444</v>
      </c>
      <c r="DG9" s="315">
        <f t="shared" si="98"/>
        <v>0.12194444444444444</v>
      </c>
      <c r="DH9" s="6">
        <f t="shared" si="99"/>
        <v>95</v>
      </c>
      <c r="DI9" s="5">
        <f t="shared" si="100"/>
        <v>6.4237415477084898</v>
      </c>
      <c r="DJ9" s="152">
        <f t="shared" si="101"/>
        <v>153.69999999999999</v>
      </c>
      <c r="DK9" s="5">
        <f t="shared" si="102"/>
        <v>10.392937640871525</v>
      </c>
      <c r="DL9" s="180">
        <f t="shared" si="103"/>
        <v>79</v>
      </c>
      <c r="DM9" s="117">
        <f t="shared" si="104"/>
        <v>5.3418482344102172</v>
      </c>
      <c r="DN9" s="117">
        <f t="shared" si="105"/>
        <v>7.4</v>
      </c>
      <c r="DO9" s="117">
        <f t="shared" si="106"/>
        <v>7.13</v>
      </c>
      <c r="DP9" s="296"/>
      <c r="DQ9" s="292" t="s">
        <v>641</v>
      </c>
      <c r="DR9" s="292" t="s">
        <v>686</v>
      </c>
      <c r="DS9" s="292">
        <v>23</v>
      </c>
      <c r="DT9" s="292" t="s">
        <v>680</v>
      </c>
      <c r="DU9" s="292" t="s">
        <v>557</v>
      </c>
      <c r="DV9" s="292" t="s">
        <v>601</v>
      </c>
      <c r="DW9" s="292" t="s">
        <v>687</v>
      </c>
      <c r="DX9" s="292" t="s">
        <v>688</v>
      </c>
      <c r="DY9" s="293">
        <v>48029</v>
      </c>
      <c r="DZ9" s="292">
        <v>1331</v>
      </c>
      <c r="EA9" s="292" t="s">
        <v>685</v>
      </c>
      <c r="EB9" s="292">
        <v>1</v>
      </c>
      <c r="EC9" s="292">
        <v>0</v>
      </c>
      <c r="ED9" s="292">
        <v>5</v>
      </c>
      <c r="EE9" s="292">
        <v>2</v>
      </c>
      <c r="EF9" s="292">
        <v>0</v>
      </c>
      <c r="EG9" s="292">
        <v>0</v>
      </c>
      <c r="EH9" s="292">
        <v>12</v>
      </c>
      <c r="EI9" s="292">
        <v>1</v>
      </c>
      <c r="EJ9" s="292">
        <v>7.4</v>
      </c>
      <c r="EK9" s="292" t="s">
        <v>711</v>
      </c>
      <c r="EL9" s="292" t="s">
        <v>712</v>
      </c>
      <c r="EM9" s="292">
        <v>5</v>
      </c>
      <c r="EN9" s="292">
        <v>10</v>
      </c>
      <c r="EO9" s="292">
        <v>44</v>
      </c>
      <c r="EP9" s="292">
        <v>14</v>
      </c>
      <c r="EQ9" s="292">
        <v>0.1</v>
      </c>
      <c r="ER9" s="292">
        <v>656</v>
      </c>
      <c r="ES9" s="292">
        <v>592</v>
      </c>
      <c r="ET9" s="292">
        <v>36</v>
      </c>
      <c r="EU9" s="292">
        <v>75</v>
      </c>
      <c r="EV9" s="292">
        <v>13</v>
      </c>
      <c r="EW9" s="292">
        <v>30</v>
      </c>
      <c r="EX9" s="292">
        <v>15</v>
      </c>
      <c r="EY9" s="292">
        <v>50</v>
      </c>
      <c r="EZ9" s="292">
        <v>14</v>
      </c>
      <c r="FA9" s="292">
        <v>11</v>
      </c>
      <c r="FB9" s="292">
        <v>5</v>
      </c>
      <c r="FC9" s="292">
        <v>1</v>
      </c>
      <c r="FD9" s="292">
        <v>1</v>
      </c>
      <c r="FE9" s="292">
        <v>16</v>
      </c>
      <c r="FF9" s="292">
        <v>1</v>
      </c>
      <c r="FG9" s="292">
        <v>5</v>
      </c>
      <c r="FH9" s="292">
        <v>5</v>
      </c>
      <c r="FI9" s="292">
        <v>0.7</v>
      </c>
      <c r="FJ9" s="292">
        <v>19</v>
      </c>
      <c r="FK9" s="292">
        <v>4</v>
      </c>
      <c r="FL9" s="292">
        <v>0</v>
      </c>
      <c r="FM9" s="292">
        <v>1</v>
      </c>
      <c r="FN9" s="292">
        <v>1</v>
      </c>
      <c r="FO9" s="292" t="s">
        <v>689</v>
      </c>
      <c r="FP9" s="297">
        <v>7.13</v>
      </c>
    </row>
    <row r="10" spans="1:172" ht="24.95" customHeight="1" thickBot="1" x14ac:dyDescent="0.3">
      <c r="A10" s="29" t="str">
        <f t="shared" si="0"/>
        <v>9º</v>
      </c>
      <c r="B10" s="69" t="str">
        <f t="shared" si="1"/>
        <v>Khéphren Thuram</v>
      </c>
      <c r="C10" s="86" t="str">
        <f t="shared" si="2"/>
        <v>FRA</v>
      </c>
      <c r="D10" s="99" t="str">
        <f t="shared" si="3"/>
        <v>Pé Direito</v>
      </c>
      <c r="E10" s="28" t="str">
        <f t="shared" si="4"/>
        <v>Juventus</v>
      </c>
      <c r="F10" s="166">
        <f t="shared" si="5"/>
        <v>1.92</v>
      </c>
      <c r="G10" s="36">
        <f t="shared" si="6"/>
        <v>25</v>
      </c>
      <c r="H10" s="325" t="str">
        <f t="shared" si="7"/>
        <v>576m € p/m</v>
      </c>
      <c r="I10" s="35">
        <f t="shared" si="8"/>
        <v>48029</v>
      </c>
      <c r="J10" s="28" t="str">
        <f t="shared" si="9"/>
        <v>55M € - 81M €</v>
      </c>
      <c r="K10" s="96">
        <f t="shared" si="10"/>
        <v>15.507777777777779</v>
      </c>
      <c r="L10" s="144">
        <f t="shared" si="11"/>
        <v>16.966666666666665</v>
      </c>
      <c r="M10" s="144">
        <f t="shared" si="12"/>
        <v>17</v>
      </c>
      <c r="N10" s="144">
        <f t="shared" si="13"/>
        <v>89.82352941176471</v>
      </c>
      <c r="O10" s="184">
        <f t="shared" si="14"/>
        <v>1</v>
      </c>
      <c r="P10" s="6">
        <f t="shared" si="15"/>
        <v>0</v>
      </c>
      <c r="Q10" s="6">
        <f t="shared" si="16"/>
        <v>0</v>
      </c>
      <c r="R10" s="6">
        <f t="shared" si="17"/>
        <v>0</v>
      </c>
      <c r="S10" s="21">
        <f t="shared" si="18"/>
        <v>9.9999999999999995E-8</v>
      </c>
      <c r="T10" s="2">
        <f t="shared" si="19"/>
        <v>2</v>
      </c>
      <c r="U10" s="2">
        <f t="shared" si="20"/>
        <v>6</v>
      </c>
      <c r="V10" s="6">
        <f t="shared" si="21"/>
        <v>8</v>
      </c>
      <c r="W10" s="6">
        <f t="shared" si="107"/>
        <v>29</v>
      </c>
      <c r="X10" s="5">
        <f t="shared" si="108"/>
        <v>1.7092337917485267</v>
      </c>
      <c r="Y10" s="6">
        <f t="shared" si="109"/>
        <v>20</v>
      </c>
      <c r="Z10" s="5">
        <f t="shared" si="110"/>
        <v>1.1787819253438114</v>
      </c>
      <c r="AA10" s="6">
        <f t="shared" si="111"/>
        <v>9</v>
      </c>
      <c r="AB10" s="5">
        <f t="shared" si="112"/>
        <v>0.5304518664047152</v>
      </c>
      <c r="AC10" s="6">
        <f t="shared" si="113"/>
        <v>27</v>
      </c>
      <c r="AD10" s="5">
        <f t="shared" si="114"/>
        <v>1.5913555992141455</v>
      </c>
      <c r="AE10" s="21">
        <f t="shared" si="115"/>
        <v>0.31034482758620691</v>
      </c>
      <c r="AF10" s="5">
        <f t="shared" si="116"/>
        <v>14.5</v>
      </c>
      <c r="AG10" s="5">
        <f t="shared" si="117"/>
        <v>4.5</v>
      </c>
      <c r="AH10" s="107">
        <f t="shared" si="118"/>
        <v>6.8965517241379309E-2</v>
      </c>
      <c r="AI10" s="318">
        <f t="shared" si="22"/>
        <v>6.8965517241379309E-2</v>
      </c>
      <c r="AJ10" s="354">
        <f t="shared" si="23"/>
        <v>1</v>
      </c>
      <c r="AK10" s="353">
        <f t="shared" si="24"/>
        <v>1</v>
      </c>
      <c r="AL10" s="354">
        <f t="shared" si="25"/>
        <v>0</v>
      </c>
      <c r="AM10" s="357">
        <f t="shared" si="26"/>
        <v>5.8939096267190579E-2</v>
      </c>
      <c r="AN10" s="377">
        <f t="shared" si="27"/>
        <v>11.876666666666665</v>
      </c>
      <c r="AO10" s="357">
        <f t="shared" si="28"/>
        <v>0.7</v>
      </c>
      <c r="AP10" s="378">
        <f t="shared" si="29"/>
        <v>8.4198708953129406E-2</v>
      </c>
      <c r="AQ10" s="5">
        <f t="shared" si="30"/>
        <v>3.45</v>
      </c>
      <c r="AR10" s="5">
        <f t="shared" si="31"/>
        <v>0.20333988212180751</v>
      </c>
      <c r="AS10" s="5">
        <f t="shared" si="32"/>
        <v>3.45</v>
      </c>
      <c r="AT10" s="5">
        <f t="shared" si="33"/>
        <v>0.20333988212180751</v>
      </c>
      <c r="AU10" s="5">
        <f t="shared" si="34"/>
        <v>5.25</v>
      </c>
      <c r="AV10" s="5">
        <f t="shared" si="35"/>
        <v>0.30943025540275054</v>
      </c>
      <c r="AW10" s="5">
        <f t="shared" si="36"/>
        <v>8.6999999999999993</v>
      </c>
      <c r="AX10" s="5">
        <f t="shared" si="37"/>
        <v>0.51277013752455791</v>
      </c>
      <c r="AY10" s="2">
        <f t="shared" si="38"/>
        <v>4</v>
      </c>
      <c r="AZ10" s="5">
        <f t="shared" si="39"/>
        <v>381.75</v>
      </c>
      <c r="BA10" s="21">
        <f t="shared" si="40"/>
        <v>0.23575638506876231</v>
      </c>
      <c r="BB10" s="208">
        <f t="shared" si="41"/>
        <v>339.03999999999996</v>
      </c>
      <c r="BC10" s="5">
        <f t="shared" si="42"/>
        <v>19.982711198428291</v>
      </c>
      <c r="BD10" s="6">
        <f t="shared" si="43"/>
        <v>69</v>
      </c>
      <c r="BE10" s="5">
        <f t="shared" si="44"/>
        <v>4.0667976424361498</v>
      </c>
      <c r="BF10" s="6">
        <f t="shared" si="45"/>
        <v>32</v>
      </c>
      <c r="BG10" s="5">
        <f t="shared" si="46"/>
        <v>1.8860510805500985</v>
      </c>
      <c r="BH10" s="6">
        <f t="shared" si="47"/>
        <v>21</v>
      </c>
      <c r="BI10" s="5">
        <f t="shared" si="48"/>
        <v>1.2377210216110022</v>
      </c>
      <c r="BJ10" s="6">
        <f t="shared" si="49"/>
        <v>12</v>
      </c>
      <c r="BK10" s="5">
        <f t="shared" si="50"/>
        <v>0.70726915520628686</v>
      </c>
      <c r="BL10" s="6">
        <f t="shared" si="51"/>
        <v>9</v>
      </c>
      <c r="BM10" s="5">
        <f t="shared" si="52"/>
        <v>0.5304518664047152</v>
      </c>
      <c r="BN10" s="20">
        <f t="shared" si="53"/>
        <v>0.5714285714285714</v>
      </c>
      <c r="BO10" s="2">
        <f t="shared" si="54"/>
        <v>6</v>
      </c>
      <c r="BP10" s="5">
        <f t="shared" si="55"/>
        <v>0.35363457760314343</v>
      </c>
      <c r="BQ10" s="2">
        <f t="shared" si="56"/>
        <v>4</v>
      </c>
      <c r="BR10" s="12">
        <f t="shared" si="57"/>
        <v>0.33333333333333331</v>
      </c>
      <c r="BS10" s="6">
        <f t="shared" si="58"/>
        <v>122</v>
      </c>
      <c r="BT10" s="5">
        <f t="shared" si="59"/>
        <v>7.1905697445972505</v>
      </c>
      <c r="BU10" s="6">
        <f t="shared" si="60"/>
        <v>20</v>
      </c>
      <c r="BV10" s="5">
        <f t="shared" si="61"/>
        <v>1.1787819253438114</v>
      </c>
      <c r="BW10" s="21">
        <f t="shared" si="62"/>
        <v>0.16393442622950818</v>
      </c>
      <c r="BX10" s="2">
        <f t="shared" si="63"/>
        <v>2</v>
      </c>
      <c r="BY10" s="2">
        <f t="shared" si="64"/>
        <v>0</v>
      </c>
      <c r="BZ10" s="2">
        <f t="shared" si="65"/>
        <v>2</v>
      </c>
      <c r="CA10" s="2">
        <f t="shared" si="66"/>
        <v>18</v>
      </c>
      <c r="CB10" s="2">
        <f t="shared" si="67"/>
        <v>12</v>
      </c>
      <c r="CC10" s="21">
        <f t="shared" si="68"/>
        <v>0.66666666666666663</v>
      </c>
      <c r="CD10" s="21">
        <f t="shared" si="69"/>
        <v>0.66666666666666663</v>
      </c>
      <c r="CE10" s="6">
        <f t="shared" si="70"/>
        <v>0</v>
      </c>
      <c r="CF10" s="5">
        <f t="shared" si="71"/>
        <v>0</v>
      </c>
      <c r="CG10" s="178">
        <f t="shared" si="72"/>
        <v>1</v>
      </c>
      <c r="CH10" s="178">
        <f t="shared" si="73"/>
        <v>0</v>
      </c>
      <c r="CI10" s="179">
        <f t="shared" si="74"/>
        <v>0</v>
      </c>
      <c r="CJ10" s="6">
        <f t="shared" si="75"/>
        <v>1121</v>
      </c>
      <c r="CK10" s="6">
        <f t="shared" si="76"/>
        <v>1038</v>
      </c>
      <c r="CL10" s="5">
        <f t="shared" si="77"/>
        <v>56.286836935167003</v>
      </c>
      <c r="CM10" s="6">
        <f t="shared" si="78"/>
        <v>83</v>
      </c>
      <c r="CN10" s="21">
        <f t="shared" si="79"/>
        <v>0.92595896520963428</v>
      </c>
      <c r="CO10" s="6">
        <f t="shared" si="80"/>
        <v>50</v>
      </c>
      <c r="CP10" s="5">
        <f t="shared" si="81"/>
        <v>2.9469548133595289</v>
      </c>
      <c r="CQ10" s="6">
        <f t="shared" si="82"/>
        <v>32</v>
      </c>
      <c r="CR10" s="6">
        <f t="shared" si="83"/>
        <v>18</v>
      </c>
      <c r="CS10" s="20">
        <f t="shared" si="84"/>
        <v>0.64</v>
      </c>
      <c r="CT10" s="5">
        <f t="shared" si="85"/>
        <v>75.38310412573675</v>
      </c>
      <c r="CU10" s="6">
        <f t="shared" si="86"/>
        <v>1367.25</v>
      </c>
      <c r="CV10" s="5">
        <f t="shared" si="87"/>
        <v>80.58447937131632</v>
      </c>
      <c r="CW10" s="6">
        <f t="shared" si="88"/>
        <v>1125.25</v>
      </c>
      <c r="CX10" s="5">
        <f t="shared" si="89"/>
        <v>66.321218074656201</v>
      </c>
      <c r="CY10" s="21">
        <f t="shared" si="90"/>
        <v>0.82300237703419277</v>
      </c>
      <c r="CZ10" s="6">
        <f t="shared" si="91"/>
        <v>33.25</v>
      </c>
      <c r="DA10" s="5">
        <f t="shared" si="92"/>
        <v>1.9597249508840866</v>
      </c>
      <c r="DB10" s="6">
        <f t="shared" si="93"/>
        <v>21</v>
      </c>
      <c r="DC10" s="5">
        <f t="shared" si="94"/>
        <v>1.2377210216110022</v>
      </c>
      <c r="DD10" s="5">
        <f t="shared" si="95"/>
        <v>3.5</v>
      </c>
      <c r="DE10" s="21">
        <f t="shared" si="96"/>
        <v>0.2857142857142857</v>
      </c>
      <c r="DF10" s="5">
        <f t="shared" si="97"/>
        <v>0.25</v>
      </c>
      <c r="DG10" s="315">
        <f t="shared" si="98"/>
        <v>0.25</v>
      </c>
      <c r="DH10" s="6">
        <f t="shared" si="99"/>
        <v>60</v>
      </c>
      <c r="DI10" s="5">
        <f t="shared" si="100"/>
        <v>3.5363457760314345</v>
      </c>
      <c r="DJ10" s="152">
        <f t="shared" si="101"/>
        <v>211.8</v>
      </c>
      <c r="DK10" s="5">
        <f t="shared" si="102"/>
        <v>12.483300589390964</v>
      </c>
      <c r="DL10" s="180">
        <f t="shared" si="103"/>
        <v>103</v>
      </c>
      <c r="DM10" s="117">
        <f t="shared" si="104"/>
        <v>6.0707269155206296</v>
      </c>
      <c r="DN10" s="117">
        <f t="shared" si="105"/>
        <v>4.0999999999999996</v>
      </c>
      <c r="DO10" s="117">
        <f t="shared" si="106"/>
        <v>7.45</v>
      </c>
      <c r="DP10" s="298" t="s">
        <v>19</v>
      </c>
      <c r="DQ10" s="294" t="s">
        <v>642</v>
      </c>
      <c r="DR10" s="294" t="s">
        <v>668</v>
      </c>
      <c r="DS10" s="294">
        <v>25</v>
      </c>
      <c r="DT10" s="294" t="s">
        <v>655</v>
      </c>
      <c r="DU10" s="294" t="s">
        <v>539</v>
      </c>
      <c r="DV10" s="294" t="s">
        <v>601</v>
      </c>
      <c r="DW10" s="294" t="s">
        <v>669</v>
      </c>
      <c r="DX10" s="294" t="s">
        <v>670</v>
      </c>
      <c r="DY10" s="295">
        <v>48029</v>
      </c>
      <c r="DZ10" s="294">
        <v>1527</v>
      </c>
      <c r="EA10" s="294">
        <v>17</v>
      </c>
      <c r="EB10" s="294">
        <v>4</v>
      </c>
      <c r="EC10" s="294">
        <v>0</v>
      </c>
      <c r="ED10" s="294">
        <v>2</v>
      </c>
      <c r="EE10" s="294">
        <v>6</v>
      </c>
      <c r="EF10" s="294">
        <v>2</v>
      </c>
      <c r="EG10" s="294">
        <v>0</v>
      </c>
      <c r="EH10" s="294">
        <v>7</v>
      </c>
      <c r="EI10" s="294">
        <v>1</v>
      </c>
      <c r="EJ10" s="294">
        <v>4.0999999999999996</v>
      </c>
      <c r="EK10" s="294" t="s">
        <v>703</v>
      </c>
      <c r="EL10" s="294" t="s">
        <v>704</v>
      </c>
      <c r="EM10" s="294">
        <v>6</v>
      </c>
      <c r="EN10" s="294">
        <v>15</v>
      </c>
      <c r="EO10" s="294">
        <v>50</v>
      </c>
      <c r="EP10" s="294">
        <v>32</v>
      </c>
      <c r="EQ10" s="294">
        <v>0.4</v>
      </c>
      <c r="ER10" s="294">
        <v>1121</v>
      </c>
      <c r="ES10" s="294">
        <v>1038</v>
      </c>
      <c r="ET10" s="294">
        <v>21</v>
      </c>
      <c r="EU10" s="294">
        <v>127</v>
      </c>
      <c r="EV10" s="294">
        <v>3</v>
      </c>
      <c r="EW10" s="294">
        <v>29</v>
      </c>
      <c r="EX10" s="294">
        <v>9</v>
      </c>
      <c r="EY10" s="294">
        <v>122</v>
      </c>
      <c r="EZ10" s="294">
        <v>20</v>
      </c>
      <c r="FA10" s="294">
        <v>15</v>
      </c>
      <c r="FB10" s="294">
        <v>12</v>
      </c>
      <c r="FC10" s="294">
        <v>0</v>
      </c>
      <c r="FD10" s="294">
        <v>9</v>
      </c>
      <c r="FE10" s="294">
        <v>42</v>
      </c>
      <c r="FF10" s="294">
        <v>1</v>
      </c>
      <c r="FG10" s="294">
        <v>17</v>
      </c>
      <c r="FH10" s="294">
        <v>16.8</v>
      </c>
      <c r="FI10" s="294">
        <v>0.7</v>
      </c>
      <c r="FJ10" s="294">
        <v>1</v>
      </c>
      <c r="FK10" s="294">
        <v>0</v>
      </c>
      <c r="FL10" s="294">
        <v>0</v>
      </c>
      <c r="FM10" s="294">
        <v>0</v>
      </c>
      <c r="FN10" s="294">
        <v>0</v>
      </c>
      <c r="FO10" s="294" t="s">
        <v>671</v>
      </c>
      <c r="FP10" s="299">
        <v>7.45</v>
      </c>
    </row>
    <row r="11" spans="1:172" ht="24.95" customHeight="1" thickBot="1" x14ac:dyDescent="0.3">
      <c r="A11" s="29" t="str">
        <f t="shared" si="0"/>
        <v>10º</v>
      </c>
      <c r="B11" s="69" t="str">
        <f t="shared" si="1"/>
        <v>Pablo Barrios</v>
      </c>
      <c r="C11" s="86" t="str">
        <f t="shared" si="2"/>
        <v>ESP</v>
      </c>
      <c r="D11" s="99" t="str">
        <f t="shared" si="3"/>
        <v>Pé Direito</v>
      </c>
      <c r="E11" s="28" t="str">
        <f t="shared" si="4"/>
        <v>Atlético de Madrid</v>
      </c>
      <c r="F11" s="166">
        <f t="shared" si="5"/>
        <v>1.81</v>
      </c>
      <c r="G11" s="36">
        <f t="shared" si="6"/>
        <v>23</v>
      </c>
      <c r="H11" s="325" t="str">
        <f t="shared" si="7"/>
        <v>234m € p/m</v>
      </c>
      <c r="I11" s="35">
        <f t="shared" si="8"/>
        <v>48029</v>
      </c>
      <c r="J11" s="28" t="str">
        <f t="shared" si="9"/>
        <v>163M € - 241M €</v>
      </c>
      <c r="K11" s="96">
        <f t="shared" si="10"/>
        <v>15.507777777777779</v>
      </c>
      <c r="L11" s="144">
        <f t="shared" si="11"/>
        <v>15.266666666666667</v>
      </c>
      <c r="M11" s="144">
        <f t="shared" si="12"/>
        <v>17</v>
      </c>
      <c r="N11" s="144">
        <f t="shared" si="13"/>
        <v>80.82352941176471</v>
      </c>
      <c r="O11" s="184">
        <f t="shared" si="14"/>
        <v>1</v>
      </c>
      <c r="P11" s="6">
        <f t="shared" si="15"/>
        <v>0</v>
      </c>
      <c r="Q11" s="6">
        <f t="shared" si="16"/>
        <v>0</v>
      </c>
      <c r="R11" s="6">
        <f t="shared" si="17"/>
        <v>0</v>
      </c>
      <c r="S11" s="21">
        <f t="shared" si="18"/>
        <v>9.9999999999999995E-8</v>
      </c>
      <c r="T11" s="2">
        <f t="shared" si="19"/>
        <v>2</v>
      </c>
      <c r="U11" s="2">
        <f t="shared" si="20"/>
        <v>3</v>
      </c>
      <c r="V11" s="6">
        <f t="shared" si="21"/>
        <v>5</v>
      </c>
      <c r="W11" s="6">
        <f t="shared" si="107"/>
        <v>25</v>
      </c>
      <c r="X11" s="5">
        <f t="shared" si="108"/>
        <v>1.6375545851528384</v>
      </c>
      <c r="Y11" s="6">
        <f t="shared" si="109"/>
        <v>17</v>
      </c>
      <c r="Z11" s="5">
        <f t="shared" si="110"/>
        <v>1.1135371179039302</v>
      </c>
      <c r="AA11" s="6">
        <f t="shared" si="111"/>
        <v>8</v>
      </c>
      <c r="AB11" s="5">
        <f t="shared" si="112"/>
        <v>0.5240174672489083</v>
      </c>
      <c r="AC11" s="6">
        <f t="shared" si="113"/>
        <v>23</v>
      </c>
      <c r="AD11" s="5">
        <f t="shared" si="114"/>
        <v>1.5065502183406112</v>
      </c>
      <c r="AE11" s="21">
        <f t="shared" si="115"/>
        <v>0.32</v>
      </c>
      <c r="AF11" s="5">
        <f t="shared" si="116"/>
        <v>12.5</v>
      </c>
      <c r="AG11" s="5">
        <f t="shared" si="117"/>
        <v>4</v>
      </c>
      <c r="AH11" s="107">
        <f t="shared" si="118"/>
        <v>0.08</v>
      </c>
      <c r="AI11" s="318">
        <f t="shared" si="22"/>
        <v>0.08</v>
      </c>
      <c r="AJ11" s="354">
        <f t="shared" si="23"/>
        <v>0</v>
      </c>
      <c r="AK11" s="353">
        <f t="shared" si="24"/>
        <v>2</v>
      </c>
      <c r="AL11" s="354">
        <f t="shared" si="25"/>
        <v>0</v>
      </c>
      <c r="AM11" s="357">
        <f t="shared" si="26"/>
        <v>0.13100436681222707</v>
      </c>
      <c r="AN11" s="377">
        <f t="shared" si="27"/>
        <v>22.900000000000002</v>
      </c>
      <c r="AO11" s="357">
        <f t="shared" si="28"/>
        <v>1.5</v>
      </c>
      <c r="AP11" s="378">
        <f t="shared" si="29"/>
        <v>8.7336244541484712E-2</v>
      </c>
      <c r="AQ11" s="5">
        <f t="shared" si="30"/>
        <v>1.1599999999999999</v>
      </c>
      <c r="AR11" s="5">
        <f t="shared" si="31"/>
        <v>7.5982532751091694E-2</v>
      </c>
      <c r="AS11" s="5">
        <f t="shared" si="32"/>
        <v>1.1599999999999999</v>
      </c>
      <c r="AT11" s="5">
        <f t="shared" si="33"/>
        <v>7.5982532751091694E-2</v>
      </c>
      <c r="AU11" s="5">
        <f t="shared" si="34"/>
        <v>0.81</v>
      </c>
      <c r="AV11" s="5">
        <f t="shared" si="35"/>
        <v>5.3056768558951965E-2</v>
      </c>
      <c r="AW11" s="5">
        <f t="shared" si="36"/>
        <v>1.97</v>
      </c>
      <c r="AX11" s="5">
        <f t="shared" si="37"/>
        <v>0.12903930131004365</v>
      </c>
      <c r="AY11" s="2">
        <f t="shared" si="38"/>
        <v>1</v>
      </c>
      <c r="AZ11" s="5">
        <f t="shared" si="39"/>
        <v>1374</v>
      </c>
      <c r="BA11" s="21">
        <f t="shared" si="40"/>
        <v>6.5502183406113537E-2</v>
      </c>
      <c r="BB11" s="208">
        <f t="shared" si="41"/>
        <v>214.45333333333332</v>
      </c>
      <c r="BC11" s="5">
        <f t="shared" si="42"/>
        <v>14.047161572052399</v>
      </c>
      <c r="BD11" s="6">
        <f t="shared" si="43"/>
        <v>70.5</v>
      </c>
      <c r="BE11" s="5">
        <f t="shared" si="44"/>
        <v>4.6179039301310043</v>
      </c>
      <c r="BF11" s="6">
        <f t="shared" si="45"/>
        <v>58.5</v>
      </c>
      <c r="BG11" s="5">
        <f t="shared" si="46"/>
        <v>3.8318777292576418</v>
      </c>
      <c r="BH11" s="6">
        <f t="shared" si="47"/>
        <v>44</v>
      </c>
      <c r="BI11" s="5">
        <f t="shared" si="48"/>
        <v>2.8820960698689957</v>
      </c>
      <c r="BJ11" s="6">
        <f t="shared" si="49"/>
        <v>25</v>
      </c>
      <c r="BK11" s="5">
        <f t="shared" si="50"/>
        <v>1.6375545851528384</v>
      </c>
      <c r="BL11" s="6">
        <f t="shared" si="51"/>
        <v>19</v>
      </c>
      <c r="BM11" s="5">
        <f t="shared" si="52"/>
        <v>1.2445414847161571</v>
      </c>
      <c r="BN11" s="20">
        <f t="shared" si="53"/>
        <v>0.56818181818181823</v>
      </c>
      <c r="BO11" s="2">
        <f t="shared" si="54"/>
        <v>11</v>
      </c>
      <c r="BP11" s="5">
        <f t="shared" si="55"/>
        <v>0.72052401746724892</v>
      </c>
      <c r="BQ11" s="2">
        <f t="shared" si="56"/>
        <v>9</v>
      </c>
      <c r="BR11" s="12">
        <f t="shared" si="57"/>
        <v>0.18181818181818182</v>
      </c>
      <c r="BS11" s="6">
        <f t="shared" si="58"/>
        <v>116</v>
      </c>
      <c r="BT11" s="5">
        <f t="shared" si="59"/>
        <v>7.5982532751091698</v>
      </c>
      <c r="BU11" s="6">
        <f t="shared" si="60"/>
        <v>32</v>
      </c>
      <c r="BV11" s="5">
        <f t="shared" si="61"/>
        <v>2.0960698689956332</v>
      </c>
      <c r="BW11" s="21">
        <f t="shared" si="62"/>
        <v>0.27586206896551724</v>
      </c>
      <c r="BX11" s="2">
        <f t="shared" si="63"/>
        <v>2</v>
      </c>
      <c r="BY11" s="2">
        <f t="shared" si="64"/>
        <v>0</v>
      </c>
      <c r="BZ11" s="2">
        <f t="shared" si="65"/>
        <v>2</v>
      </c>
      <c r="CA11" s="2">
        <f t="shared" si="66"/>
        <v>39</v>
      </c>
      <c r="CB11" s="2">
        <f t="shared" si="67"/>
        <v>28</v>
      </c>
      <c r="CC11" s="21">
        <f t="shared" si="68"/>
        <v>0.71794871794871795</v>
      </c>
      <c r="CD11" s="21">
        <f t="shared" si="69"/>
        <v>0.81818181818181823</v>
      </c>
      <c r="CE11" s="6">
        <f t="shared" si="70"/>
        <v>3</v>
      </c>
      <c r="CF11" s="5">
        <f t="shared" si="71"/>
        <v>0.1965065502183406</v>
      </c>
      <c r="CG11" s="178">
        <f t="shared" si="72"/>
        <v>3</v>
      </c>
      <c r="CH11" s="178">
        <f t="shared" si="73"/>
        <v>1</v>
      </c>
      <c r="CI11" s="179">
        <f t="shared" si="74"/>
        <v>0.33333333333333331</v>
      </c>
      <c r="CJ11" s="6">
        <f t="shared" si="75"/>
        <v>1025</v>
      </c>
      <c r="CK11" s="6">
        <f t="shared" si="76"/>
        <v>954</v>
      </c>
      <c r="CL11" s="5">
        <f t="shared" si="77"/>
        <v>57.838427947598248</v>
      </c>
      <c r="CM11" s="6">
        <f t="shared" si="78"/>
        <v>71</v>
      </c>
      <c r="CN11" s="21">
        <f t="shared" si="79"/>
        <v>0.93073170731707322</v>
      </c>
      <c r="CO11" s="6">
        <f t="shared" si="80"/>
        <v>19</v>
      </c>
      <c r="CP11" s="5">
        <f t="shared" si="81"/>
        <v>1.2445414847161571</v>
      </c>
      <c r="CQ11" s="6">
        <f t="shared" si="82"/>
        <v>8</v>
      </c>
      <c r="CR11" s="6">
        <f t="shared" si="83"/>
        <v>11</v>
      </c>
      <c r="CS11" s="20">
        <f t="shared" si="84"/>
        <v>0.42105263157894735</v>
      </c>
      <c r="CT11" s="5">
        <f t="shared" si="85"/>
        <v>74.737991266375545</v>
      </c>
      <c r="CU11" s="6">
        <f t="shared" si="86"/>
        <v>1271.81</v>
      </c>
      <c r="CV11" s="5">
        <f t="shared" si="87"/>
        <v>83.306331877729249</v>
      </c>
      <c r="CW11" s="6">
        <f t="shared" si="88"/>
        <v>1058.5</v>
      </c>
      <c r="CX11" s="5">
        <f t="shared" si="89"/>
        <v>69.334061135371172</v>
      </c>
      <c r="CY11" s="21">
        <f t="shared" si="90"/>
        <v>0.83227840636573081</v>
      </c>
      <c r="CZ11" s="6">
        <f t="shared" si="91"/>
        <v>15.81</v>
      </c>
      <c r="DA11" s="5">
        <f t="shared" si="92"/>
        <v>1.035589519650655</v>
      </c>
      <c r="DB11" s="6">
        <f t="shared" si="93"/>
        <v>12</v>
      </c>
      <c r="DC11" s="5">
        <f t="shared" si="94"/>
        <v>0.78602620087336239</v>
      </c>
      <c r="DD11" s="5">
        <f t="shared" si="95"/>
        <v>4</v>
      </c>
      <c r="DE11" s="21">
        <f t="shared" si="96"/>
        <v>0.25</v>
      </c>
      <c r="DF11" s="5">
        <f t="shared" si="97"/>
        <v>6.7500000000000004E-2</v>
      </c>
      <c r="DG11" s="315">
        <f t="shared" si="98"/>
        <v>6.7500000000000004E-2</v>
      </c>
      <c r="DH11" s="6">
        <f t="shared" si="99"/>
        <v>43</v>
      </c>
      <c r="DI11" s="5">
        <f t="shared" si="100"/>
        <v>2.8165938864628819</v>
      </c>
      <c r="DJ11" s="152">
        <f t="shared" si="101"/>
        <v>181.8</v>
      </c>
      <c r="DK11" s="5">
        <f t="shared" si="102"/>
        <v>11.908296943231441</v>
      </c>
      <c r="DL11" s="180">
        <f t="shared" si="103"/>
        <v>88</v>
      </c>
      <c r="DM11" s="117">
        <f t="shared" si="104"/>
        <v>5.7641921397379914</v>
      </c>
      <c r="DN11" s="117">
        <f t="shared" si="105"/>
        <v>5</v>
      </c>
      <c r="DO11" s="117">
        <f t="shared" si="106"/>
        <v>7.05</v>
      </c>
      <c r="DP11" s="298"/>
      <c r="DQ11" s="294" t="s">
        <v>646</v>
      </c>
      <c r="DR11" s="294" t="s">
        <v>681</v>
      </c>
      <c r="DS11" s="294">
        <v>23</v>
      </c>
      <c r="DT11" s="294" t="s">
        <v>643</v>
      </c>
      <c r="DU11" s="294" t="s">
        <v>575</v>
      </c>
      <c r="DV11" s="294" t="s">
        <v>601</v>
      </c>
      <c r="DW11" s="294" t="s">
        <v>682</v>
      </c>
      <c r="DX11" s="294" t="s">
        <v>683</v>
      </c>
      <c r="DY11" s="295">
        <v>48029</v>
      </c>
      <c r="DZ11" s="294">
        <v>1374</v>
      </c>
      <c r="EA11" s="294">
        <v>17</v>
      </c>
      <c r="EB11" s="294">
        <v>1</v>
      </c>
      <c r="EC11" s="294">
        <v>0</v>
      </c>
      <c r="ED11" s="294">
        <v>2</v>
      </c>
      <c r="EE11" s="294">
        <v>3</v>
      </c>
      <c r="EF11" s="294">
        <v>2</v>
      </c>
      <c r="EG11" s="294">
        <v>0</v>
      </c>
      <c r="EH11" s="294">
        <v>2</v>
      </c>
      <c r="EI11" s="294">
        <v>2</v>
      </c>
      <c r="EJ11" s="294">
        <v>5</v>
      </c>
      <c r="EK11" s="294" t="s">
        <v>710</v>
      </c>
      <c r="EL11" s="294" t="s">
        <v>699</v>
      </c>
      <c r="EM11" s="294">
        <v>11</v>
      </c>
      <c r="EN11" s="294">
        <v>1</v>
      </c>
      <c r="EO11" s="294">
        <v>19</v>
      </c>
      <c r="EP11" s="294">
        <v>8</v>
      </c>
      <c r="EQ11" s="294">
        <v>0.1</v>
      </c>
      <c r="ER11" s="294">
        <v>1025</v>
      </c>
      <c r="ES11" s="294">
        <v>954</v>
      </c>
      <c r="ET11" s="294">
        <v>12</v>
      </c>
      <c r="EU11" s="294">
        <v>118</v>
      </c>
      <c r="EV11" s="294">
        <v>3</v>
      </c>
      <c r="EW11" s="294">
        <v>25</v>
      </c>
      <c r="EX11" s="294">
        <v>8</v>
      </c>
      <c r="EY11" s="294">
        <v>116</v>
      </c>
      <c r="EZ11" s="294">
        <v>32</v>
      </c>
      <c r="FA11" s="294">
        <v>33</v>
      </c>
      <c r="FB11" s="294">
        <v>25</v>
      </c>
      <c r="FC11" s="294">
        <v>3</v>
      </c>
      <c r="FD11" s="294">
        <v>8</v>
      </c>
      <c r="FE11" s="294">
        <v>46</v>
      </c>
      <c r="FF11" s="294">
        <v>5</v>
      </c>
      <c r="FG11" s="294">
        <v>10</v>
      </c>
      <c r="FH11" s="294">
        <v>9.1999999999999993</v>
      </c>
      <c r="FI11" s="294">
        <v>1.5</v>
      </c>
      <c r="FJ11" s="294">
        <v>3</v>
      </c>
      <c r="FK11" s="294">
        <v>1</v>
      </c>
      <c r="FL11" s="294">
        <v>0</v>
      </c>
      <c r="FM11" s="294">
        <v>0</v>
      </c>
      <c r="FN11" s="294">
        <v>0</v>
      </c>
      <c r="FO11" s="294" t="s">
        <v>684</v>
      </c>
      <c r="FP11" s="299">
        <v>7.05</v>
      </c>
    </row>
    <row r="12" spans="1:172" ht="24.95" customHeight="1" x14ac:dyDescent="0.25"/>
    <row r="13" spans="1:172" ht="24.95" customHeight="1" x14ac:dyDescent="0.25"/>
    <row r="14" spans="1:172" ht="24.95" customHeight="1" x14ac:dyDescent="0.25"/>
    <row r="15" spans="1:172" ht="24.95" customHeight="1" x14ac:dyDescent="0.25"/>
    <row r="16" spans="1:172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FP828" xr:uid="{00000000-0001-0000-0400-000000000000}">
    <sortState xmlns:xlrd2="http://schemas.microsoft.com/office/spreadsheetml/2017/richdata2" ref="B2:FP828">
      <sortCondition ref="B1:B828"/>
    </sortState>
  </autoFilter>
  <phoneticPr fontId="53" type="noConversion"/>
  <conditionalFormatting sqref="BX1:BX104857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:BY1048576">
    <cfRule type="colorScale" priority="308">
      <colorScale>
        <cfvo type="min"/>
        <cfvo type="max"/>
        <color rgb="FFFCFCFF"/>
        <color rgb="FFF8696B"/>
      </colorScale>
    </cfRule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1:BZ1048576">
    <cfRule type="colorScale" priority="307">
      <colorScale>
        <cfvo type="min"/>
        <cfvo type="max"/>
        <color rgb="FFFCFCFF"/>
        <color rgb="FFF8696B"/>
      </colorScale>
    </cfRule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:CM104857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:CL1048576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iconSet" priority="1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C1:CC1048576"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iconSet" priority="2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9">
      <colorScale>
        <cfvo type="min"/>
        <cfvo type="max"/>
        <color rgb="FFFFEF9C"/>
        <color rgb="FF63BE7B"/>
      </colorScale>
    </cfRule>
  </conditionalFormatting>
  <conditionalFormatting sqref="CB1:CB1048576">
    <cfRule type="iconSet" priority="2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048576">
    <cfRule type="colorScale" priority="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4857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516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AQ2:AS1048576"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:AT1048576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X1048576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2:CS104857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489">
      <colorScale>
        <cfvo type="min"/>
        <cfvo type="max"/>
        <color rgb="FFFFEF9C"/>
        <color rgb="FF63BE7B"/>
      </colorScale>
    </cfRule>
  </conditionalFormatting>
  <conditionalFormatting sqref="CU1:CV1048576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8">
      <colorScale>
        <cfvo type="min"/>
        <cfvo type="max"/>
        <color rgb="FFFFEF9C"/>
        <color rgb="FF63BE7B"/>
      </colorScale>
    </cfRule>
  </conditionalFormatting>
  <conditionalFormatting sqref="R1">
    <cfRule type="colorScale" priority="456">
      <colorScale>
        <cfvo type="min"/>
        <cfvo type="max"/>
        <color rgb="FFFCFCFF"/>
        <color rgb="FFF8696B"/>
      </colorScale>
    </cfRule>
  </conditionalFormatting>
  <conditionalFormatting sqref="P1">
    <cfRule type="colorScale" priority="454">
      <colorScale>
        <cfvo type="min"/>
        <cfvo type="max"/>
        <color rgb="FFFFEF9C"/>
        <color rgb="FF63BE7B"/>
      </colorScale>
    </cfRule>
  </conditionalFormatting>
  <conditionalFormatting sqref="P1">
    <cfRule type="colorScale" priority="451">
      <colorScale>
        <cfvo type="min"/>
        <cfvo type="max"/>
        <color rgb="FFFFEF9C"/>
        <color rgb="FF63BE7B"/>
      </colorScale>
    </cfRule>
  </conditionalFormatting>
  <conditionalFormatting sqref="Q1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432">
      <colorScale>
        <cfvo type="min"/>
        <cfvo type="max"/>
        <color rgb="FFFCFCFF"/>
        <color rgb="FFF8696B"/>
      </colorScale>
    </cfRule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:CD1048576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1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19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">
    <cfRule type="colorScale" priority="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1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:DO1048576">
    <cfRule type="iconSet" priority="298">
      <iconSet iconSet="3Arrows">
        <cfvo type="percent" val="0"/>
        <cfvo type="num" val="6.7"/>
        <cfvo type="num" val="7"/>
      </iconSet>
    </cfRule>
    <cfRule type="colorScale" priority="411">
      <colorScale>
        <cfvo type="num" val="6.69"/>
        <cfvo type="num" val="6.97"/>
        <cfvo type="num" val="7"/>
        <color rgb="FFF8696B"/>
        <color rgb="FFFFEB84"/>
        <color rgb="FF63BE7B"/>
      </colorScale>
    </cfRule>
  </conditionalFormatting>
  <conditionalFormatting sqref="CT1:CY1 CS2:CY1048576">
    <cfRule type="colorScale" priority="4849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Y1048576">
    <cfRule type="colorScale" priority="4849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X1048576">
    <cfRule type="colorScale" priority="484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Q1048576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:AS1048576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1048576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X1048576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X1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X1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X1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X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X1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X1048576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{0BEE6840-99D9-4160-BA1B-72FACB87E6F4}</x14:id>
        </ext>
      </extLst>
    </cfRule>
    <cfRule type="colorScale" priority="292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X1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dataBar" priority="2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{E9EFC9C9-0CAE-406B-9CD0-E96A3814585E}</x14:id>
        </ext>
      </extLst>
    </cfRule>
    <cfRule type="colorScale" priority="290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dataBar" priority="2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{735C0E13-374C-47B7-92B3-49D157C4AB5C}</x14:id>
        </ext>
      </extLst>
    </cfRule>
    <cfRule type="colorScale" priority="29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dataBar" priority="2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{9564D87C-A908-44E0-9614-D4C1C9B4DC8D}</x14:id>
        </ext>
      </extLst>
    </cfRule>
    <cfRule type="colorScale" priority="296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Q1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9">
      <colorScale>
        <cfvo type="min"/>
        <cfvo type="max"/>
        <color rgb="FFFFEF9C"/>
        <color rgb="FF63BE7B"/>
      </colorScale>
    </cfRule>
  </conditionalFormatting>
  <conditionalFormatting sqref="CO1:CQ1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Q1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5">
      <colorScale>
        <cfvo type="min"/>
        <cfvo type="max"/>
        <color rgb="FFFFEF9C"/>
        <color rgb="FF63BE7B"/>
      </colorScale>
    </cfRule>
  </conditionalFormatting>
  <conditionalFormatting sqref="CR1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colorScale" priority="343">
      <colorScale>
        <cfvo type="min"/>
        <cfvo type="max"/>
        <color rgb="FFFCFCFF"/>
        <color rgb="FFF8696B"/>
      </colorScale>
    </cfRule>
  </conditionalFormatting>
  <conditionalFormatting sqref="CS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9">
      <colorScale>
        <cfvo type="min"/>
        <cfvo type="max"/>
        <color rgb="FFFFEF9C"/>
        <color rgb="FF63BE7B"/>
      </colorScale>
    </cfRule>
  </conditionalFormatting>
  <conditionalFormatting sqref="CS1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colorScale" priority="338">
      <colorScale>
        <cfvo type="min"/>
        <cfvo type="max"/>
        <color rgb="FFFFEF9C"/>
        <color rgb="FF63BE7B"/>
      </colorScale>
    </cfRule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I1048576 CF1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dataBar" priority="2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{894C061B-733F-4E6D-ADBF-F218639729C4}</x14:id>
        </ext>
      </extLst>
    </cfRule>
    <cfRule type="colorScale" priority="29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T1:AT1048576">
    <cfRule type="dataBar" priority="2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{B7EFE5DE-0AE2-435C-B0DE-FE6F77F733C1}</x14:id>
        </ext>
      </extLst>
    </cfRule>
    <cfRule type="colorScale" priority="29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U1:AU1048576">
    <cfRule type="dataBar" priority="2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{0DF6CD23-CEEB-4074-ACD1-A2C08491358A}</x14:id>
        </ext>
      </extLst>
    </cfRule>
    <cfRule type="colorScale" priority="29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W1:AW1048576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{A3BC3AC7-14A9-4364-9107-F74DF2124DD3}</x14:id>
        </ext>
      </extLst>
    </cfRule>
    <cfRule type="colorScale" priority="29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G1">
    <cfRule type="iconSet" priority="27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:CI1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I1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1">
      <colorScale>
        <cfvo type="min"/>
        <cfvo type="max"/>
        <color rgb="FFFFEF9C"/>
        <color rgb="FF63BE7B"/>
      </colorScale>
    </cfRule>
  </conditionalFormatting>
  <conditionalFormatting sqref="CI1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dataBar" priority="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{B6818099-FC14-42BA-B46E-6CFFD247E357}</x14:id>
        </ext>
      </extLst>
    </cfRule>
    <cfRule type="colorScale" priority="218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2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261">
      <iconSet iconSet="3Arrows">
        <cfvo type="percent" val="0"/>
        <cfvo type="percent" val="33"/>
        <cfvo type="percent" val="67"/>
      </iconSet>
    </cfRule>
  </conditionalFormatting>
  <conditionalFormatting sqref="CH1:CH1048576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{C5A2172C-C906-4F46-B782-516E132FED96}</x14:id>
        </ext>
      </extLst>
    </cfRule>
    <cfRule type="colorScale" priority="217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25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J1:CJ1048576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dataBar" priority="76">
      <dataBar>
        <cfvo type="min"/>
        <cfvo type="max"/>
        <color rgb="FFB0C5E2"/>
      </dataBar>
      <extLst>
        <ext xmlns:x14="http://schemas.microsoft.com/office/spreadsheetml/2009/9/main" uri="{B025F937-C7B1-47D3-B67F-A62EFF666E3E}">
          <x14:id>{DE283332-3E2D-474B-923C-9D2DDC605911}</x14:id>
        </ext>
      </extLst>
    </cfRule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{561122CD-B5E5-4210-806A-062E043B6727}</x14:id>
        </ext>
      </extLst>
    </cfRule>
    <cfRule type="colorScale" priority="2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F1:CF1048576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iconSet" priority="25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Z2:CZ11">
    <cfRule type="colorScale" priority="255">
      <colorScale>
        <cfvo type="num" val="0"/>
        <cfvo type="num" val="31"/>
        <cfvo type="num" val="32"/>
        <color theme="7" tint="0.79998168889431442"/>
        <color rgb="FFFFEB84"/>
        <color rgb="FFFF0000"/>
      </colorScale>
    </cfRule>
  </conditionalFormatting>
  <conditionalFormatting sqref="CZ2:CZ1048576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19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iconSet" priority="19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">
    <cfRule type="iconSet" priority="184">
      <iconSet iconSet="3ArrowsGray">
        <cfvo type="percent" val="0"/>
        <cfvo type="percent" val="33"/>
        <cfvo type="percent" val="67"/>
      </iconSet>
    </cfRule>
    <cfRule type="colorScale" priority="18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BA1">
    <cfRule type="iconSet" priority="182">
      <iconSet iconSet="3ArrowsGray">
        <cfvo type="percent" val="0"/>
        <cfvo type="percent" val="33"/>
        <cfvo type="percent" val="67"/>
      </iconSet>
    </cfRule>
    <cfRule type="colorScale" priority="185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AY1:AY1048576">
    <cfRule type="colorScale" priority="17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81">
      <iconSet iconSet="3ArrowsGray">
        <cfvo type="percent" val="0"/>
        <cfvo type="percent" val="33"/>
        <cfvo type="percent" val="67"/>
      </iconSet>
    </cfRule>
  </conditionalFormatting>
  <conditionalFormatting sqref="BA1:BA1048576">
    <cfRule type="colorScale" priority="175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179">
      <iconSet iconSet="3ArrowsGray">
        <cfvo type="percent" val="0"/>
        <cfvo type="percent" val="33"/>
        <cfvo type="percent" val="67"/>
      </iconSet>
    </cfRule>
  </conditionalFormatting>
  <conditionalFormatting sqref="AZ1:AZ1048576">
    <cfRule type="colorScale" priority="176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178">
      <iconSet iconSet="3ArrowsGray" reverse="1">
        <cfvo type="percent" val="0"/>
        <cfvo type="percent" val="33"/>
        <cfvo type="percent" val="67"/>
      </iconSet>
    </cfRule>
  </conditionalFormatting>
  <conditionalFormatting sqref="DJ1:DJ1048576">
    <cfRule type="colorScale" priority="172">
      <colorScale>
        <cfvo type="min"/>
        <cfvo type="percentile" val="50"/>
        <cfvo type="max"/>
        <color rgb="FFF8696B"/>
        <color theme="8" tint="0.79998168889431442"/>
        <color rgb="FF00B0F0"/>
      </colorScale>
    </cfRule>
    <cfRule type="iconSet" priority="17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K1:DK1048576">
    <cfRule type="iconSet" priority="164">
      <iconSet iconSet="3Arrows">
        <cfvo type="percent" val="0"/>
        <cfvo type="percent" val="33"/>
        <cfvo type="percent" val="67"/>
      </iconSet>
    </cfRule>
    <cfRule type="colorScale" priority="165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DL1:DL1048576">
    <cfRule type="iconSet" priority="162">
      <iconSet iconSet="3Arrows" reverse="1">
        <cfvo type="percent" val="0"/>
        <cfvo type="percent" val="33"/>
        <cfvo type="percent" val="67"/>
      </iconSet>
    </cfRule>
    <cfRule type="colorScale" priority="163">
      <colorScale>
        <cfvo type="min"/>
        <cfvo type="max"/>
        <color rgb="FFFCFCFF"/>
        <color rgb="FFF8696B"/>
      </colorScale>
    </cfRule>
  </conditionalFormatting>
  <conditionalFormatting sqref="DM1:DM1048576">
    <cfRule type="iconSet" priority="160">
      <iconSet iconSet="3Arrows" reverse="1">
        <cfvo type="percent" val="0"/>
        <cfvo type="percent" val="33"/>
        <cfvo type="percent" val="67"/>
      </iconSet>
    </cfRule>
    <cfRule type="colorScale" priority="161">
      <colorScale>
        <cfvo type="min"/>
        <cfvo type="max"/>
        <color rgb="FFFCFCFF"/>
        <color rgb="FFF8696B"/>
      </colorScale>
    </cfRule>
  </conditionalFormatting>
  <conditionalFormatting sqref="DN1:DN1048576">
    <cfRule type="iconSet" priority="158">
      <iconSet iconSet="3Arrows" reverse="1">
        <cfvo type="percent" val="0"/>
        <cfvo type="percent" val="33"/>
        <cfvo type="percent" val="67"/>
      </iconSet>
    </cfRule>
    <cfRule type="colorScale" priority="159">
      <colorScale>
        <cfvo type="min"/>
        <cfvo type="max"/>
        <color rgb="FFFCFCFF"/>
        <color rgb="FFF8696B"/>
      </colorScale>
    </cfRule>
  </conditionalFormatting>
  <conditionalFormatting sqref="BB1:BB1048576">
    <cfRule type="iconSet" priority="1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14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C1048576">
    <cfRule type="colorScale" priority="2076888">
      <colorScale>
        <cfvo type="min"/>
        <cfvo type="max"/>
        <color rgb="FFFFEF9C"/>
        <color rgb="FF63BE7B"/>
      </colorScale>
    </cfRule>
  </conditionalFormatting>
  <conditionalFormatting sqref="BH1:BH1048576">
    <cfRule type="iconSet" priority="14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4">
      <colorScale>
        <cfvo type="min"/>
        <cfvo type="max"/>
        <color rgb="FFFFEF9C"/>
        <color rgb="FF63BE7B"/>
      </colorScale>
    </cfRule>
  </conditionalFormatting>
  <conditionalFormatting sqref="BI1:BI1048576">
    <cfRule type="iconSet" priority="14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2">
      <colorScale>
        <cfvo type="min"/>
        <cfvo type="max"/>
        <color rgb="FFFFEF9C"/>
        <color rgb="FF63BE7B"/>
      </colorScale>
    </cfRule>
  </conditionalFormatting>
  <conditionalFormatting sqref="BJ1:BJ1048576">
    <cfRule type="iconSet" priority="1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{86E95E8D-E0B4-4D9A-AA27-0ECF26914EFE}</x14:id>
        </ext>
      </extLst>
    </cfRule>
    <cfRule type="colorScale" priority="138">
      <colorScale>
        <cfvo type="min"/>
        <cfvo type="max"/>
        <color rgb="FFFCFCFF"/>
        <color rgb="FFF8696B"/>
      </colorScale>
    </cfRule>
  </conditionalFormatting>
  <conditionalFormatting sqref="BP1:BP1048576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{442FCEE9-C163-4406-9C75-ED9168CEF606}</x14:id>
        </ext>
      </extLst>
    </cfRule>
    <cfRule type="colorScale" priority="137">
      <colorScale>
        <cfvo type="min"/>
        <cfvo type="max"/>
        <color rgb="FFFCFCFF"/>
        <color rgb="FFF8696B"/>
      </colorScale>
    </cfRule>
  </conditionalFormatting>
  <conditionalFormatting sqref="BQ1:BQ1048576">
    <cfRule type="colorScale" priority="136">
      <colorScale>
        <cfvo type="min"/>
        <cfvo type="max"/>
        <color rgb="FFFFEF9C"/>
        <color rgb="FF63BE7B"/>
      </colorScale>
    </cfRule>
  </conditionalFormatting>
  <conditionalFormatting sqref="BR1:BR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{F45F5E5B-CAEF-48E2-9502-82F3EF8ED100}</x14:id>
        </ext>
      </extLst>
    </cfRule>
    <cfRule type="colorScale" priority="135">
      <colorScale>
        <cfvo type="min"/>
        <cfvo type="max"/>
        <color rgb="FFFCFCFF"/>
        <color rgb="FFF8696B"/>
      </colorScale>
    </cfRule>
  </conditionalFormatting>
  <conditionalFormatting sqref="BK1:BK1048576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dataBar" priority="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{4FAB539C-D42F-4DB9-B6AC-481FEF821EBB}</x14:id>
        </ext>
      </extLst>
    </cfRule>
    <cfRule type="iconSet" priority="130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31">
      <colorScale>
        <cfvo type="min"/>
        <cfvo type="max"/>
        <color rgb="FFFCFCFF"/>
        <color rgb="FFF8696B"/>
      </colorScale>
    </cfRule>
  </conditionalFormatting>
  <conditionalFormatting sqref="BL1:BL1048576">
    <cfRule type="dataBar" priority="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{48BFB06A-434A-4772-A325-4C015B737757}</x14:id>
        </ext>
      </extLst>
    </cfRule>
    <cfRule type="iconSet" priority="12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9">
      <colorScale>
        <cfvo type="min"/>
        <cfvo type="max"/>
        <color rgb="FFFCFCFF"/>
        <color rgb="FFF8696B"/>
      </colorScale>
    </cfRule>
  </conditionalFormatting>
  <conditionalFormatting sqref="BD1:BD1048576">
    <cfRule type="iconSet" priority="1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1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12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iconSet" priority="1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iconSet" priority="1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1:DI1048576">
    <cfRule type="iconSet" priority="1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048576">
    <cfRule type="colorScale" priority="99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DB1:DB1048576">
    <cfRule type="iconSet" priority="9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iconSet" priority="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iconSet" priority="8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48576">
    <cfRule type="colorScale" priority="2395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G104857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{3C6D9AB0-9EF5-47E4-A747-8E9A53086777}</x14:id>
        </ext>
      </extLst>
    </cfRule>
  </conditionalFormatting>
  <conditionalFormatting sqref="AI1:AI1048576">
    <cfRule type="dataBar" priority="75">
      <dataBar>
        <cfvo type="min"/>
        <cfvo type="max"/>
        <color rgb="FF00589A"/>
      </dataBar>
      <extLst>
        <ext xmlns:x14="http://schemas.microsoft.com/office/spreadsheetml/2009/9/main" uri="{B025F937-C7B1-47D3-B67F-A62EFF666E3E}">
          <x14:id>{BBC81912-40CE-4D27-891B-357B2262B56C}</x14:id>
        </ext>
      </extLst>
    </cfRule>
  </conditionalFormatting>
  <conditionalFormatting sqref="AJ1:AJ1048576">
    <cfRule type="dataBar" priority="69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{308B3B50-4DF5-40B3-8043-6E12A1A3B691}</x14:id>
        </ext>
      </extLst>
    </cfRule>
  </conditionalFormatting>
  <conditionalFormatting sqref="AK1:AK1048576">
    <cfRule type="dataBar" priority="68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{C895865F-ADB4-438A-AD0A-E74E57BEA6C3}</x14:id>
        </ext>
      </extLst>
    </cfRule>
  </conditionalFormatting>
  <conditionalFormatting sqref="AL1:AL1048576">
    <cfRule type="dataBar" priority="67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{8D279F5E-14F2-4CBB-966B-70EBDEC4252B}</x14:id>
        </ext>
      </extLst>
    </cfRule>
  </conditionalFormatting>
  <conditionalFormatting sqref="AM1:AM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048576">
    <cfRule type="colorScale" priority="65">
      <colorScale>
        <cfvo type="min"/>
        <cfvo type="max"/>
        <color rgb="FFFFEF9C"/>
        <color rgb="FF63BE7B"/>
      </colorScale>
    </cfRule>
  </conditionalFormatting>
  <conditionalFormatting sqref="AO1:AO1048576">
    <cfRule type="colorScale" priority="64">
      <colorScale>
        <cfvo type="min"/>
        <cfvo type="max"/>
        <color rgb="FFFFEF9C"/>
        <color rgb="FF63BE7B"/>
      </colorScale>
    </cfRule>
  </conditionalFormatting>
  <conditionalFormatting sqref="AP1:AP1048576">
    <cfRule type="colorScale" priority="6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D12:CI1048576 CD1:CF1 CD2:CD11">
    <cfRule type="colorScale" priority="2520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2:CN1048576 CN1">
    <cfRule type="colorScale" priority="2520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2:CL1048576 CJ1:CJ11 CL1:CL11">
    <cfRule type="colorScale" priority="2520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2:CK1048576 CJ1:CJ11">
    <cfRule type="colorScale" priority="2520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2:CL1048576 CJ1:CJ11 CL1:CL11">
    <cfRule type="colorScale" priority="2520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2:CI1048576 CA1:CF1 CA2:CD11">
    <cfRule type="colorScale" priority="2520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12:CI1048576 CA1:CF1 CA2:CD11">
    <cfRule type="colorScale" priority="2520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X11">
    <cfRule type="colorScale" priority="2520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X11">
    <cfRule type="colorScale" priority="2520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1">
    <cfRule type="colorScale" priority="2520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2:CP11">
    <cfRule type="colorScale" priority="2520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2:CQ11">
    <cfRule type="colorScale" priority="2520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2:CR11">
    <cfRule type="colorScale" priority="2520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:CJ11 CL2:CL11">
    <cfRule type="colorScale" priority="2520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2:CN11">
    <cfRule type="colorScale" priority="2520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1:CK11">
    <cfRule type="colorScale" priority="2520949">
      <colorScale>
        <cfvo type="min"/>
        <cfvo type="max"/>
        <color rgb="FFFFEF9C"/>
        <color rgb="FF63BE7B"/>
      </colorScale>
    </cfRule>
  </conditionalFormatting>
  <conditionalFormatting sqref="CE2:CE11">
    <cfRule type="colorScale" priority="2520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2:CE11">
    <cfRule type="colorScale" priority="2520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2:CI11">
    <cfRule type="colorScale" priority="2520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2:CI11">
    <cfRule type="colorScale" priority="2520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11">
    <cfRule type="colorScale" priority="2520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2:DO11">
    <cfRule type="colorScale" priority="2520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11">
    <cfRule type="colorScale" priority="2520956">
      <colorScale>
        <cfvo type="min"/>
        <cfvo type="max"/>
        <color rgb="FFFFEF9C"/>
        <color rgb="FF63BE7B"/>
      </colorScale>
    </cfRule>
  </conditionalFormatting>
  <conditionalFormatting sqref="CS2:CY11">
    <cfRule type="colorScale" priority="2520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2:CY11">
    <cfRule type="colorScale" priority="2520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2:CY11">
    <cfRule type="colorScale" priority="2520959">
      <colorScale>
        <cfvo type="min"/>
        <cfvo type="max"/>
        <color rgb="FFFFEF9C"/>
        <color rgb="FF63BE7B"/>
      </colorScale>
    </cfRule>
  </conditionalFormatting>
  <conditionalFormatting sqref="CX1:CX11">
    <cfRule type="colorScale" priority="25209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S11">
    <cfRule type="colorScale" priority="25209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S11">
    <cfRule type="colorScale" priority="2520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S11">
    <cfRule type="colorScale" priority="2520965">
      <colorScale>
        <cfvo type="min"/>
        <cfvo type="max"/>
        <color rgb="FFFFEF9C"/>
        <color rgb="FF63BE7B"/>
      </colorScale>
    </cfRule>
  </conditionalFormatting>
  <conditionalFormatting sqref="CZ2:CZ11">
    <cfRule type="colorScale" priority="2520967">
      <colorScale>
        <cfvo type="min"/>
        <cfvo type="max"/>
        <color rgb="FFFFEF9C"/>
        <color rgb="FF63BE7B"/>
      </colorScale>
    </cfRule>
  </conditionalFormatting>
  <conditionalFormatting sqref="CZ2:CZ11">
    <cfRule type="colorScale" priority="25209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2:CD11">
    <cfRule type="colorScale" priority="2520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2:CD11">
    <cfRule type="colorScale" priority="2520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">
    <cfRule type="colorScale" priority="25209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1">
    <cfRule type="iconSet" priority="252097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520973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5209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{BB8606C0-344E-457D-8F38-C8487DBEC240}</x14:id>
        </ext>
      </extLst>
    </cfRule>
    <cfRule type="colorScale" priority="2520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520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{F2916F21-BD65-42C5-A260-97C50BDEAEA5}</x14:id>
        </ext>
      </extLst>
    </cfRule>
    <cfRule type="colorScale" priority="6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T1:BT104857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{2CE8D877-B7C7-40A2-923C-7CC5EA9677A5}</x14:id>
        </ext>
      </extLst>
    </cfRule>
    <cfRule type="colorScale" priority="6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U1:BU1048576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{E820599B-8909-4E13-9842-F6CF450F0093}</x14:id>
        </ext>
      </extLst>
    </cfRule>
    <cfRule type="colorScale" priority="6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V1:BV1048576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{7D614ED7-D293-431E-84AC-4A49B54395AB}</x14:id>
        </ext>
      </extLst>
    </cfRule>
    <cfRule type="iconSet" priority="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W1:BW1048576">
    <cfRule type="iconSet" priority="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W1:W1048576">
    <cfRule type="colorScale" priority="20">
      <colorScale>
        <cfvo type="min"/>
        <cfvo type="max"/>
        <color rgb="FFFFEF9C"/>
        <color rgb="FF63BE7B"/>
      </colorScale>
    </cfRule>
  </conditionalFormatting>
  <conditionalFormatting sqref="X1:X1048576">
    <cfRule type="iconSet" priority="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">
      <colorScale>
        <cfvo type="min"/>
        <cfvo type="max"/>
        <color rgb="FFFFEF9C"/>
        <color rgb="FF63BE7B"/>
      </colorScale>
    </cfRule>
  </conditionalFormatting>
  <conditionalFormatting sqref="Y1:Y1048576">
    <cfRule type="iconSet" priority="7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8">
      <colorScale>
        <cfvo type="min"/>
        <cfvo type="max"/>
        <color rgb="FFFBABAD"/>
        <color rgb="FFF8696B"/>
      </colorScale>
    </cfRule>
  </conditionalFormatting>
  <conditionalFormatting sqref="Z1:Z1048576">
    <cfRule type="iconSet" priority="6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7">
      <colorScale>
        <cfvo type="min"/>
        <cfvo type="max"/>
        <color rgb="FFFBABAD"/>
        <color rgb="FFF8696B"/>
      </colorScale>
    </cfRule>
  </conditionalFormatting>
  <conditionalFormatting sqref="AA1:AA1048576">
    <cfRule type="iconSet" priority="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B1048576">
    <cfRule type="iconSet" priority="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iconSet" priority="3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iconSet" priority="2">
      <iconSet iconSet="5ArrowsGray">
        <cfvo type="percent" val="0"/>
        <cfvo type="percent" val="20"/>
        <cfvo type="percent" val="40"/>
        <cfvo type="percent" val="60"/>
        <cfvo type="percent" val="80"/>
      </iconSet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EE6840-99D9-4160-BA1B-72FACB87E6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E9EFC9C9-0CAE-406B-9CD0-E96A381458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735C0E13-374C-47B7-92B3-49D157C4AB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AQ1:AQ1048576</xm:sqref>
        </x14:conditionalFormatting>
        <x14:conditionalFormatting xmlns:xm="http://schemas.microsoft.com/office/excel/2006/main">
          <x14:cfRule type="dataBar" id="{9564D87C-A908-44E0-9614-D4C1C9B4DC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894C061B-733F-4E6D-ADBF-F218639729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B7EFE5DE-0AE2-435C-B0DE-FE6F77F733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0DF6CD23-CEEB-4074-ACD1-A2C08491358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A3BC3AC7-14A9-4364-9107-F74DF2124D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B6818099-FC14-42BA-B46E-6CFFD247E3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C5A2172C-C906-4F46-B782-516E132FED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CH1:CH1048576</xm:sqref>
        </x14:conditionalFormatting>
        <x14:conditionalFormatting xmlns:xm="http://schemas.microsoft.com/office/excel/2006/main">
          <x14:cfRule type="dataBar" id="{DE283332-3E2D-474B-923C-9D2DDC6059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61122CD-B5E5-4210-806A-062E043B67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CI1:CI1048576</xm:sqref>
        </x14:conditionalFormatting>
        <x14:conditionalFormatting xmlns:xm="http://schemas.microsoft.com/office/excel/2006/main">
          <x14:cfRule type="dataBar" id="{86E95E8D-E0B4-4D9A-AA27-0ECF26914E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442FCEE9-C163-4406-9C75-ED9168CEF6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BP1:BP1048576</xm:sqref>
        </x14:conditionalFormatting>
        <x14:conditionalFormatting xmlns:xm="http://schemas.microsoft.com/office/excel/2006/main">
          <x14:cfRule type="dataBar" id="{F45F5E5B-CAEF-48E2-9502-82F3EF8ED1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BR1:BR1048576</xm:sqref>
        </x14:conditionalFormatting>
        <x14:conditionalFormatting xmlns:xm="http://schemas.microsoft.com/office/excel/2006/main">
          <x14:cfRule type="dataBar" id="{4FAB539C-D42F-4DB9-B6AC-481FEF821E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BM1:BM1048576</xm:sqref>
        </x14:conditionalFormatting>
        <x14:conditionalFormatting xmlns:xm="http://schemas.microsoft.com/office/excel/2006/main">
          <x14:cfRule type="dataBar" id="{48BFB06A-434A-4772-A325-4C015B737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BL1:BL1048576</xm:sqref>
        </x14:conditionalFormatting>
        <x14:conditionalFormatting xmlns:xm="http://schemas.microsoft.com/office/excel/2006/main">
          <x14:cfRule type="dataBar" id="{3C6D9AB0-9EF5-47E4-A747-8E9A530867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DG1:DG1048576</xm:sqref>
        </x14:conditionalFormatting>
        <x14:conditionalFormatting xmlns:xm="http://schemas.microsoft.com/office/excel/2006/main">
          <x14:cfRule type="dataBar" id="{BBC81912-40CE-4D27-891B-357B2262B5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AI1:AI1048576</xm:sqref>
        </x14:conditionalFormatting>
        <x14:conditionalFormatting xmlns:xm="http://schemas.microsoft.com/office/excel/2006/main">
          <x14:cfRule type="dataBar" id="{308B3B50-4DF5-40B3-8043-6E12A1A3B6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AJ1:AJ1048576</xm:sqref>
        </x14:conditionalFormatting>
        <x14:conditionalFormatting xmlns:xm="http://schemas.microsoft.com/office/excel/2006/main">
          <x14:cfRule type="dataBar" id="{C895865F-ADB4-438A-AD0A-E74E57BEA6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AK1:AK1048576</xm:sqref>
        </x14:conditionalFormatting>
        <x14:conditionalFormatting xmlns:xm="http://schemas.microsoft.com/office/excel/2006/main">
          <x14:cfRule type="dataBar" id="{8D279F5E-14F2-4CBB-966B-70EBDEC425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AL1:AL1048576</xm:sqref>
        </x14:conditionalFormatting>
        <x14:conditionalFormatting xmlns:xm="http://schemas.microsoft.com/office/excel/2006/main">
          <x14:cfRule type="dataBar" id="{BB8606C0-344E-457D-8F38-C8487DBEC2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  <x14:conditionalFormatting xmlns:xm="http://schemas.microsoft.com/office/excel/2006/main">
          <x14:cfRule type="dataBar" id="{F2916F21-BD65-42C5-A260-97C50BDEAE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BS1:BS1048576</xm:sqref>
        </x14:conditionalFormatting>
        <x14:conditionalFormatting xmlns:xm="http://schemas.microsoft.com/office/excel/2006/main">
          <x14:cfRule type="dataBar" id="{2CE8D877-B7C7-40A2-923C-7CC5EA9677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BT1:BT1048576</xm:sqref>
        </x14:conditionalFormatting>
        <x14:conditionalFormatting xmlns:xm="http://schemas.microsoft.com/office/excel/2006/main">
          <x14:cfRule type="dataBar" id="{E820599B-8909-4E13-9842-F6CF450F00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BU1:BU1048576</xm:sqref>
        </x14:conditionalFormatting>
        <x14:conditionalFormatting xmlns:xm="http://schemas.microsoft.com/office/excel/2006/main">
          <x14:cfRule type="dataBar" id="{7D614ED7-D293-431E-84AC-4A49B54395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BV1:BV1048576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theme="9" tint="-0.249977111117893"/>
  </sheetPr>
  <dimension ref="A1:EY863"/>
  <sheetViews>
    <sheetView zoomScale="90" zoomScaleNormal="90" workbookViewId="0">
      <pane xSplit="2" ySplit="1" topLeftCell="CT2" activePane="bottomRight" state="frozen"/>
      <selection pane="topRight" activeCell="C1" sqref="C1"/>
      <selection pane="bottomLeft" activeCell="A2" sqref="A2"/>
      <selection pane="bottomRight" activeCell="DJ1" sqref="DJ1"/>
    </sheetView>
  </sheetViews>
  <sheetFormatPr defaultRowHeight="27.95" customHeight="1" x14ac:dyDescent="0.25"/>
  <cols>
    <col min="2" max="2" width="30.7109375" customWidth="1"/>
    <col min="3" max="3" width="12.5703125" customWidth="1"/>
    <col min="4" max="4" width="21.7109375" customWidth="1"/>
    <col min="5" max="5" width="24.42578125" bestFit="1" customWidth="1"/>
    <col min="6" max="6" width="14.7109375" customWidth="1"/>
    <col min="7" max="7" width="18.28515625" customWidth="1"/>
    <col min="8" max="8" width="15.7109375" customWidth="1"/>
    <col min="9" max="9" width="15.85546875" style="13" customWidth="1"/>
    <col min="10" max="10" width="17.28515625" bestFit="1" customWidth="1"/>
    <col min="11" max="11" width="11.140625" customWidth="1"/>
    <col min="12" max="12" width="15.28515625" customWidth="1"/>
    <col min="13" max="25" width="18.7109375" customWidth="1"/>
    <col min="26" max="26" width="20.5703125" customWidth="1"/>
    <col min="27" max="65" width="18.7109375" customWidth="1"/>
    <col min="66" max="67" width="18.7109375" style="1" customWidth="1"/>
    <col min="68" max="71" width="18.7109375" customWidth="1"/>
    <col min="72" max="82" width="18.7109375" style="1" customWidth="1"/>
    <col min="83" max="85" width="18.7109375" style="203" customWidth="1"/>
    <col min="86" max="86" width="18.7109375" style="335" customWidth="1"/>
    <col min="87" max="112" width="18.7109375" customWidth="1"/>
    <col min="113" max="113" width="18.7109375" style="103" customWidth="1"/>
    <col min="114" max="114" width="8.7109375" style="1" customWidth="1"/>
    <col min="115" max="124" width="11.7109375" style="1" customWidth="1"/>
    <col min="125" max="125" width="11.7109375" style="203" customWidth="1"/>
    <col min="126" max="145" width="11.7109375" style="1" customWidth="1"/>
    <col min="146" max="147" width="9.140625" style="1"/>
    <col min="148" max="154" width="11.7109375" style="1" customWidth="1"/>
    <col min="155" max="155" width="11.7109375" style="203" customWidth="1"/>
  </cols>
  <sheetData>
    <row r="1" spans="1:155" ht="50.1" customHeight="1" thickBot="1" x14ac:dyDescent="0.3">
      <c r="A1" s="112"/>
      <c r="B1" s="4" t="s">
        <v>20</v>
      </c>
      <c r="C1" s="4" t="s">
        <v>212</v>
      </c>
      <c r="D1" s="94" t="s">
        <v>230</v>
      </c>
      <c r="E1" s="4" t="s">
        <v>28</v>
      </c>
      <c r="F1" s="4" t="s">
        <v>29</v>
      </c>
      <c r="G1" s="4" t="s">
        <v>87</v>
      </c>
      <c r="H1" s="4" t="s">
        <v>1</v>
      </c>
      <c r="I1" s="85" t="s">
        <v>3</v>
      </c>
      <c r="J1" s="4" t="s">
        <v>21</v>
      </c>
      <c r="K1" s="4" t="s">
        <v>229</v>
      </c>
      <c r="L1" s="30" t="s">
        <v>119</v>
      </c>
      <c r="M1" s="30" t="s">
        <v>415</v>
      </c>
      <c r="N1" s="30" t="s">
        <v>416</v>
      </c>
      <c r="O1" s="30" t="s">
        <v>419</v>
      </c>
      <c r="P1" s="221" t="s">
        <v>22</v>
      </c>
      <c r="Q1" s="221" t="s">
        <v>24</v>
      </c>
      <c r="R1" s="221" t="s">
        <v>66</v>
      </c>
      <c r="S1" s="98" t="s">
        <v>38</v>
      </c>
      <c r="T1" s="98" t="s">
        <v>412</v>
      </c>
      <c r="U1" s="98" t="s">
        <v>411</v>
      </c>
      <c r="V1" s="104" t="s">
        <v>622</v>
      </c>
      <c r="W1" s="104" t="s">
        <v>624</v>
      </c>
      <c r="X1" s="104" t="s">
        <v>620</v>
      </c>
      <c r="Y1" s="104" t="s">
        <v>625</v>
      </c>
      <c r="Z1" s="104" t="s">
        <v>623</v>
      </c>
      <c r="AA1" s="104" t="s">
        <v>621</v>
      </c>
      <c r="AB1" s="104" t="s">
        <v>239</v>
      </c>
      <c r="AC1" s="104" t="s">
        <v>236</v>
      </c>
      <c r="AD1" s="105" t="s">
        <v>237</v>
      </c>
      <c r="AE1" s="104" t="s">
        <v>238</v>
      </c>
      <c r="AF1" s="38" t="s">
        <v>22</v>
      </c>
      <c r="AG1" s="38" t="s">
        <v>65</v>
      </c>
      <c r="AH1" s="38" t="s">
        <v>66</v>
      </c>
      <c r="AI1" s="38" t="s">
        <v>54</v>
      </c>
      <c r="AJ1" s="38" t="s">
        <v>316</v>
      </c>
      <c r="AK1" s="38" t="s">
        <v>148</v>
      </c>
      <c r="AL1" s="38" t="s">
        <v>153</v>
      </c>
      <c r="AM1" s="38" t="s">
        <v>427</v>
      </c>
      <c r="AN1" s="334" t="s">
        <v>91</v>
      </c>
      <c r="AO1" s="334" t="s">
        <v>179</v>
      </c>
      <c r="AP1" s="46" t="s">
        <v>7</v>
      </c>
      <c r="AQ1" s="46" t="s">
        <v>469</v>
      </c>
      <c r="AR1" s="46" t="s">
        <v>470</v>
      </c>
      <c r="AS1" s="46" t="s">
        <v>167</v>
      </c>
      <c r="AT1" s="46" t="s">
        <v>333</v>
      </c>
      <c r="AU1" s="46" t="s">
        <v>340</v>
      </c>
      <c r="AV1" s="46" t="s">
        <v>341</v>
      </c>
      <c r="AW1" s="46" t="s">
        <v>533</v>
      </c>
      <c r="AX1" s="46" t="s">
        <v>532</v>
      </c>
      <c r="AY1" s="26" t="s">
        <v>385</v>
      </c>
      <c r="AZ1" s="26" t="s">
        <v>386</v>
      </c>
      <c r="BA1" s="4" t="s">
        <v>387</v>
      </c>
      <c r="BB1" s="17" t="s">
        <v>77</v>
      </c>
      <c r="BC1" s="17" t="s">
        <v>53</v>
      </c>
      <c r="BD1" s="17" t="s">
        <v>116</v>
      </c>
      <c r="BE1" s="17" t="s">
        <v>127</v>
      </c>
      <c r="BF1" s="17" t="s">
        <v>128</v>
      </c>
      <c r="BG1" s="17" t="s">
        <v>52</v>
      </c>
      <c r="BH1" s="17" t="s">
        <v>27</v>
      </c>
      <c r="BI1" s="17" t="s">
        <v>86</v>
      </c>
      <c r="BJ1" s="40" t="s">
        <v>436</v>
      </c>
      <c r="BK1" s="40" t="s">
        <v>429</v>
      </c>
      <c r="BL1" s="40" t="s">
        <v>438</v>
      </c>
      <c r="BM1" s="171" t="s">
        <v>439</v>
      </c>
      <c r="BN1" s="17" t="s">
        <v>437</v>
      </c>
      <c r="BO1" s="46" t="s">
        <v>444</v>
      </c>
      <c r="BP1" s="4" t="s">
        <v>345</v>
      </c>
      <c r="BQ1" s="4" t="s">
        <v>346</v>
      </c>
      <c r="BR1" s="4" t="s">
        <v>62</v>
      </c>
      <c r="BS1" s="4" t="s">
        <v>173</v>
      </c>
      <c r="BT1" s="41" t="s">
        <v>779</v>
      </c>
      <c r="BU1" s="41" t="s">
        <v>327</v>
      </c>
      <c r="BV1" s="379" t="s">
        <v>778</v>
      </c>
      <c r="BW1" s="379" t="s">
        <v>777</v>
      </c>
      <c r="BX1" s="41" t="s">
        <v>248</v>
      </c>
      <c r="BY1" s="41" t="s">
        <v>248</v>
      </c>
      <c r="BZ1" s="41" t="s">
        <v>431</v>
      </c>
      <c r="CA1" s="16" t="s">
        <v>430</v>
      </c>
      <c r="CB1" s="40" t="s">
        <v>61</v>
      </c>
      <c r="CC1" s="40" t="s">
        <v>85</v>
      </c>
      <c r="CD1" s="171" t="s">
        <v>394</v>
      </c>
      <c r="CE1" s="336" t="s">
        <v>627</v>
      </c>
      <c r="CF1" s="336" t="s">
        <v>316</v>
      </c>
      <c r="CG1" s="336" t="s">
        <v>628</v>
      </c>
      <c r="CH1" s="337" t="s">
        <v>626</v>
      </c>
      <c r="CI1" s="201" t="s">
        <v>26</v>
      </c>
      <c r="CJ1" s="202" t="s">
        <v>118</v>
      </c>
      <c r="CK1" s="197" t="s">
        <v>480</v>
      </c>
      <c r="CL1" s="197" t="s">
        <v>481</v>
      </c>
      <c r="CM1" s="197" t="s">
        <v>479</v>
      </c>
      <c r="CN1" s="197" t="s">
        <v>482</v>
      </c>
      <c r="CO1" s="197" t="s">
        <v>483</v>
      </c>
      <c r="CP1" s="22" t="s">
        <v>246</v>
      </c>
      <c r="CQ1" s="22" t="s">
        <v>247</v>
      </c>
      <c r="CR1" s="34" t="s">
        <v>309</v>
      </c>
      <c r="CS1" s="34" t="s">
        <v>310</v>
      </c>
      <c r="CT1" s="139" t="s">
        <v>152</v>
      </c>
      <c r="CU1" s="52" t="s">
        <v>132</v>
      </c>
      <c r="CV1" s="52" t="s">
        <v>311</v>
      </c>
      <c r="CW1" s="46" t="s">
        <v>312</v>
      </c>
      <c r="CX1" s="52" t="s">
        <v>388</v>
      </c>
      <c r="CY1" s="46" t="s">
        <v>206</v>
      </c>
      <c r="CZ1" s="52" t="s">
        <v>205</v>
      </c>
      <c r="DA1" s="46" t="s">
        <v>133</v>
      </c>
      <c r="DB1" s="43" t="s">
        <v>409</v>
      </c>
      <c r="DC1" s="43" t="s">
        <v>410</v>
      </c>
      <c r="DD1" s="43" t="s">
        <v>178</v>
      </c>
      <c r="DE1" s="45" t="s">
        <v>342</v>
      </c>
      <c r="DF1" s="45" t="s">
        <v>80</v>
      </c>
      <c r="DG1" s="40" t="s">
        <v>426</v>
      </c>
      <c r="DH1" s="40" t="s">
        <v>165</v>
      </c>
      <c r="DI1" s="110" t="s">
        <v>25</v>
      </c>
      <c r="DJ1" s="289" t="s">
        <v>14</v>
      </c>
      <c r="DK1" s="290" t="s">
        <v>584</v>
      </c>
      <c r="DL1" s="290" t="s">
        <v>20</v>
      </c>
      <c r="DM1" s="290" t="s">
        <v>1</v>
      </c>
      <c r="DN1" s="290" t="s">
        <v>0</v>
      </c>
      <c r="DO1" s="290" t="s">
        <v>29</v>
      </c>
      <c r="DP1" s="290" t="s">
        <v>40</v>
      </c>
      <c r="DQ1" s="290" t="s">
        <v>2</v>
      </c>
      <c r="DR1" s="290" t="s">
        <v>3</v>
      </c>
      <c r="DS1" s="290" t="s">
        <v>88</v>
      </c>
      <c r="DT1" s="290" t="s">
        <v>585</v>
      </c>
      <c r="DU1" s="290" t="s">
        <v>608</v>
      </c>
      <c r="DV1" s="290" t="s">
        <v>30</v>
      </c>
      <c r="DW1" s="290" t="s">
        <v>609</v>
      </c>
      <c r="DX1" s="290" t="s">
        <v>610</v>
      </c>
      <c r="DY1" s="290" t="s">
        <v>4</v>
      </c>
      <c r="DZ1" s="290" t="s">
        <v>177</v>
      </c>
      <c r="EA1" s="290" t="s">
        <v>7</v>
      </c>
      <c r="EB1" s="290" t="s">
        <v>164</v>
      </c>
      <c r="EC1" s="290" t="s">
        <v>603</v>
      </c>
      <c r="ED1" s="290" t="s">
        <v>604</v>
      </c>
      <c r="EE1" s="290" t="s">
        <v>15</v>
      </c>
      <c r="EF1" s="290" t="s">
        <v>16</v>
      </c>
      <c r="EG1" s="290" t="s">
        <v>606</v>
      </c>
      <c r="EH1" s="290" t="s">
        <v>605</v>
      </c>
      <c r="EI1" s="290" t="s">
        <v>10</v>
      </c>
      <c r="EJ1" s="290" t="s">
        <v>8</v>
      </c>
      <c r="EK1" s="290" t="s">
        <v>9</v>
      </c>
      <c r="EL1" s="290" t="s">
        <v>187</v>
      </c>
      <c r="EM1" s="290" t="s">
        <v>188</v>
      </c>
      <c r="EN1" s="290" t="s">
        <v>550</v>
      </c>
      <c r="EO1" s="290" t="s">
        <v>551</v>
      </c>
      <c r="EP1" s="290" t="s">
        <v>92</v>
      </c>
      <c r="EQ1" s="290" t="s">
        <v>93</v>
      </c>
      <c r="ER1" s="290" t="s">
        <v>619</v>
      </c>
      <c r="ES1" s="290" t="s">
        <v>616</v>
      </c>
      <c r="ET1" s="290" t="s">
        <v>611</v>
      </c>
      <c r="EU1" s="290" t="s">
        <v>5</v>
      </c>
      <c r="EV1" s="290" t="s">
        <v>102</v>
      </c>
      <c r="EW1" s="290" t="s">
        <v>165</v>
      </c>
      <c r="EX1" s="290" t="s">
        <v>18</v>
      </c>
      <c r="EY1" s="291" t="s">
        <v>600</v>
      </c>
    </row>
    <row r="2" spans="1:155" ht="24.95" customHeight="1" thickBot="1" x14ac:dyDescent="0.3">
      <c r="A2" s="29" t="str">
        <f t="shared" ref="A2:A11" si="0">ROW()-1 &amp; "º"</f>
        <v>1º</v>
      </c>
      <c r="B2" s="69" t="str">
        <f t="shared" ref="B2:B11" si="1">DL2</f>
        <v>Robert</v>
      </c>
      <c r="C2" s="86" t="str">
        <f t="shared" ref="C2:C11" si="2">DK2</f>
        <v>BRA</v>
      </c>
      <c r="D2" s="99" t="str">
        <f t="shared" ref="D2:D11" si="3">DP2</f>
        <v>Pé Direito</v>
      </c>
      <c r="E2" s="9" t="str">
        <f t="shared" ref="E2:E11" si="4">DN2</f>
        <v>Genus</v>
      </c>
      <c r="F2" s="166">
        <f t="shared" ref="F2:F11" si="5">IFERROR(SUBSTITUTE(DO2," cm","")/100,0)</f>
        <v>1.74</v>
      </c>
      <c r="G2" s="35">
        <f t="shared" ref="G2:G11" si="6">IF(DS2="-", "Sem Data Final", DS2)</f>
        <v>46173</v>
      </c>
      <c r="H2" s="7">
        <f t="shared" ref="H2:H11" si="7">DM2</f>
        <v>22</v>
      </c>
      <c r="I2" s="327" t="str">
        <f t="shared" ref="I2:I11" si="8">DR2</f>
        <v>€1,2m p/m</v>
      </c>
      <c r="J2" s="3">
        <f t="shared" ref="J2:J11" si="9">DQ2</f>
        <v>0</v>
      </c>
      <c r="K2" s="96">
        <f t="shared" ref="K2:K11" si="10">AVERAGE(L:L)</f>
        <v>4.5533333333333328</v>
      </c>
      <c r="L2" s="143">
        <f t="shared" ref="L2:L11" si="11">DT2/90</f>
        <v>4.9222222222222225</v>
      </c>
      <c r="M2" s="144">
        <f t="shared" ref="M2:M11" si="12">IF(ISERROR(FIND("(",DU2)), VALUE(DU2), VALUE(LEFT(DU2,FIND("(",DU2)-2)) + VALUE(MID(DU2,FIND("(",DU2)+1,FIND(")",DU2)-FIND("(",DU2)-1)))</f>
        <v>6</v>
      </c>
      <c r="N2" s="144">
        <f t="shared" ref="N2:N11" si="13">IFERROR(DT2/M2,0)</f>
        <v>73.833333333333329</v>
      </c>
      <c r="O2" s="184">
        <f t="shared" ref="O2:O11" si="14">IFERROR(IF(ISERROR(FIND("(",DU2)), "100%", TEXT(VALUE(LEFT(DU2,FIND("(",DU2)-2)) / (VALUE(LEFT(DU2,FIND("(",DU2)-2)) + VALUE(MID(DU2,FIND("(",DU2)+1,FIND(")",DU2)-FIND("(",DU2)-1))),"0%")),0)*1</f>
        <v>1</v>
      </c>
      <c r="P2" s="2">
        <f t="shared" ref="P2:P11" si="15">DW2</f>
        <v>1</v>
      </c>
      <c r="Q2" s="2">
        <f t="shared" ref="Q2:Q11" si="16">DX2</f>
        <v>0</v>
      </c>
      <c r="R2" s="2">
        <f t="shared" ref="R2:R11" si="17">P2+Q2</f>
        <v>1</v>
      </c>
      <c r="S2" s="6">
        <f t="shared" ref="S2:S11" si="18">DV2</f>
        <v>0</v>
      </c>
      <c r="T2" s="24">
        <f t="shared" ref="T2:T11" si="19">IFERROR(DT2/S2,5000)</f>
        <v>5000</v>
      </c>
      <c r="U2" s="21">
        <f t="shared" ref="U2:U11" si="20">(S2*1)/L2</f>
        <v>0</v>
      </c>
      <c r="V2" s="326">
        <f t="shared" ref="V2:V11" si="21">EP2-EN2</f>
        <v>0</v>
      </c>
      <c r="W2" s="328">
        <f t="shared" ref="W2:W11" si="22">IFERROR(V2/L2,0)</f>
        <v>0</v>
      </c>
      <c r="X2" s="326">
        <f t="shared" ref="X2:X11" si="23">EQ2-EO2</f>
        <v>0</v>
      </c>
      <c r="Y2" s="328">
        <f t="shared" ref="Y2:Y11" si="24">IFERROR(X2/L2,0)</f>
        <v>0</v>
      </c>
      <c r="Z2" s="318">
        <f t="shared" ref="Z2:Z11" si="25">IFERROR(X2/V2,0)</f>
        <v>0</v>
      </c>
      <c r="AA2" s="326">
        <f t="shared" ref="AA2:AA11" si="26">ET2</f>
        <v>0</v>
      </c>
      <c r="AB2" s="314">
        <f t="shared" ref="AB2:AB11" si="27">EU2</f>
        <v>0</v>
      </c>
      <c r="AC2" s="314">
        <f t="shared" ref="AC2:AC11" si="28">EV2</f>
        <v>0</v>
      </c>
      <c r="AD2" s="314">
        <f t="shared" ref="AD2:AD11" si="29">EU2-EV2</f>
        <v>0</v>
      </c>
      <c r="AE2" s="21">
        <f t="shared" ref="AE2:AE11" si="30">IFERROR((EV2*1)/EU2,0.0000001)</f>
        <v>9.9999999999999995E-8</v>
      </c>
      <c r="AF2" s="6">
        <f t="shared" ref="AF2:AF11" si="31">DW2</f>
        <v>1</v>
      </c>
      <c r="AG2" s="6">
        <f t="shared" ref="AG2:AG11" si="32">DX2</f>
        <v>0</v>
      </c>
      <c r="AH2" s="6">
        <f t="shared" ref="AH2:AH11" si="33">AF2+AG2</f>
        <v>1</v>
      </c>
      <c r="AI2" s="6">
        <f t="shared" ref="AI2:AI11" si="34">AF2-EV2</f>
        <v>1</v>
      </c>
      <c r="AJ2" s="2">
        <f t="shared" ref="AJ2:AJ11" si="35">ER2</f>
        <v>1</v>
      </c>
      <c r="AK2" s="5">
        <f t="shared" ref="AK2:AK11" si="36">IFERROR((P2/L2),0)</f>
        <v>0.20316027088036115</v>
      </c>
      <c r="AL2" s="5">
        <f t="shared" ref="AL2:AL11" si="37">IFERROR((Q2/L2),0)</f>
        <v>0</v>
      </c>
      <c r="AM2" s="5">
        <f t="shared" ref="AM2:AM11" si="38">IFERROR((P2+Q2)/L2,0)</f>
        <v>0.20316027088036115</v>
      </c>
      <c r="AN2" s="332">
        <f t="shared" ref="AN2:AN11" si="39">EI2</f>
        <v>18</v>
      </c>
      <c r="AO2" s="333">
        <f t="shared" ref="AO2:AO11" si="40">IFERROR(AN2/L2,0)</f>
        <v>3.6568848758465009</v>
      </c>
      <c r="AP2" s="5">
        <f t="shared" ref="AP2:AP11" si="41">SUBSTITUTE(EA2,".","," )*1</f>
        <v>0.73</v>
      </c>
      <c r="AQ2" s="5">
        <f t="shared" ref="AQ2:AQ11" si="42">IFERROR(AP2-(EU2*0.79),0)</f>
        <v>0.73</v>
      </c>
      <c r="AR2" s="5">
        <f t="shared" ref="AR2:AR11" si="43">IFERROR(AQ2/L2,0)</f>
        <v>0.14830699774266365</v>
      </c>
      <c r="AS2" s="5">
        <f t="shared" ref="AS2:AS11" si="44">SUBSTITUTE(EB2,".","," )*1</f>
        <v>1.1399999999999999</v>
      </c>
      <c r="AT2" s="5">
        <f t="shared" ref="AT2:AT11" si="45">IFERROR(AS2/L2,0)</f>
        <v>0.2316027088036117</v>
      </c>
      <c r="AU2" s="5">
        <f t="shared" ref="AU2:AU11" si="46">AQ2+AS2</f>
        <v>1.8699999999999999</v>
      </c>
      <c r="AV2" s="5">
        <f t="shared" ref="AV2:AV11" si="47">IFERROR(AU2/L2,0)</f>
        <v>0.37990970654627537</v>
      </c>
      <c r="AW2" s="21">
        <f t="shared" ref="AW2:AW11" si="48">IFERROR(AS2/(AS2+DX2),0)</f>
        <v>1</v>
      </c>
      <c r="AX2" s="21">
        <f t="shared" ref="AX2:AX11" si="49">IFERROR(DW2/(DW2+AP2),0)</f>
        <v>0.5780346820809249</v>
      </c>
      <c r="AY2" s="6">
        <f t="shared" ref="AY2:AY11" si="50">EN2</f>
        <v>30</v>
      </c>
      <c r="AZ2" s="6">
        <f t="shared" ref="AZ2:AZ11" si="51">EO2</f>
        <v>3</v>
      </c>
      <c r="BA2" s="21">
        <f t="shared" ref="BA2:BA11" si="52">IFERROR((AZ2*1)/AY2,0)</f>
        <v>0.1</v>
      </c>
      <c r="BB2" s="6">
        <f t="shared" ref="BB2:BB11" si="53">EE2</f>
        <v>224</v>
      </c>
      <c r="BC2" s="6">
        <f t="shared" ref="BC2:BC11" si="54">EF2</f>
        <v>197</v>
      </c>
      <c r="BD2" s="24">
        <f t="shared" ref="BD2:BD11" si="55">IFERROR(EE2/L2,0)</f>
        <v>45.507900677200901</v>
      </c>
      <c r="BE2" s="24">
        <f t="shared" ref="BE2:BE11" si="56">IFERROR(EF2/L2,0)</f>
        <v>40.02257336343115</v>
      </c>
      <c r="BF2" s="24">
        <f t="shared" ref="BF2:BF11" si="57">IFERROR(BD2-BE2,0)</f>
        <v>5.4853273137697514</v>
      </c>
      <c r="BG2" s="20">
        <f t="shared" ref="BG2:BG11" si="58">IFERROR((EF2*1)/EE2,0)</f>
        <v>0.8794642857142857</v>
      </c>
      <c r="BH2" s="6">
        <f t="shared" ref="BH2:BH11" si="59">IFERROR(EE2-EF2,0)</f>
        <v>27</v>
      </c>
      <c r="BI2" s="21">
        <f t="shared" ref="BI2:BI11" si="60">100%-BG2</f>
        <v>0.1205357142857143</v>
      </c>
      <c r="BJ2" s="208">
        <f t="shared" ref="BJ2:BJ11" si="61">IFERROR(EG2,0)</f>
        <v>14</v>
      </c>
      <c r="BK2" s="196">
        <f t="shared" ref="BK2:BK11" si="62">IFERROR(BJ2/L2,0)</f>
        <v>2.8442437923250563</v>
      </c>
      <c r="BL2" s="5">
        <f t="shared" ref="BL2:BL11" si="63">IFERROR(EG2/DX2,25)</f>
        <v>25</v>
      </c>
      <c r="BM2" s="21">
        <f t="shared" ref="BM2:BM11" si="64">IFERROR(DX2/EG2,0)</f>
        <v>0</v>
      </c>
      <c r="BN2" s="5">
        <f t="shared" ref="BN2:BN11" si="65">IFERROR((AS2-DX2),0)</f>
        <v>1.1399999999999999</v>
      </c>
      <c r="BO2" s="5">
        <f t="shared" ref="BO2:BO11" si="66">IFERROR(AS2/EG2,0)</f>
        <v>8.142857142857142E-2</v>
      </c>
      <c r="BP2" s="24">
        <f t="shared" ref="BP2:BP11" si="67">IFERROR(DT2/EG2,0)</f>
        <v>31.642857142857142</v>
      </c>
      <c r="BQ2" s="5">
        <f t="shared" ref="BQ2:BQ11" si="68">IFERROR(DT2/((DY2-EU2)+EK2+EG2),0)</f>
        <v>21.095238095238095</v>
      </c>
      <c r="BR2" s="5">
        <f t="shared" ref="BR2:BR11" si="69">IFERROR(DW2-AP2,0)</f>
        <v>0.27</v>
      </c>
      <c r="BS2" s="5">
        <f t="shared" ref="BS2:BS11" si="70">IFERROR(BR2-(EV2*0.79),0)</f>
        <v>0.27</v>
      </c>
      <c r="BT2" s="6">
        <f t="shared" ref="BT2:BT11" si="71">IFERROR(EJ2-EU2,0)</f>
        <v>9</v>
      </c>
      <c r="BU2" s="5">
        <f t="shared" ref="BU2:BU11" si="72">IFERROR(BT2/L2,0)</f>
        <v>1.8284424379232505</v>
      </c>
      <c r="BV2" s="6">
        <f t="shared" ref="BV2:BV11" si="73">EJ2-EK2</f>
        <v>4</v>
      </c>
      <c r="BW2" s="5">
        <f t="shared" ref="BW2:BW11" si="74">BV2/L2</f>
        <v>0.8126410835214446</v>
      </c>
      <c r="BX2" s="6">
        <f t="shared" ref="BX2:BX11" si="75">IFERROR(EK2,0)</f>
        <v>5</v>
      </c>
      <c r="BY2" s="5">
        <f t="shared" ref="BY2:BY11" si="76">BX2/L2</f>
        <v>1.0158013544018059</v>
      </c>
      <c r="BZ2" s="5">
        <f t="shared" ref="BZ2:BZ11" si="77">IFERROR((EK2-EV2)/L2,0)</f>
        <v>1.0158013544018059</v>
      </c>
      <c r="CA2" s="21">
        <f t="shared" ref="CA2:CA11" si="78">IFERROR(((EK2-EV2)/(EJ2-EU2)),0)</f>
        <v>0.55555555555555558</v>
      </c>
      <c r="CB2" s="5">
        <f t="shared" ref="CB2:CB11" si="79">IFERROR(BT2/(DW2-EV2),50)</f>
        <v>9</v>
      </c>
      <c r="CC2" s="5">
        <f t="shared" ref="CC2:CC11" si="80">IFERROR(EK2/DW2,50)</f>
        <v>5</v>
      </c>
      <c r="CD2" s="21">
        <f t="shared" ref="CD2:CD11" si="81">IFERROR(AI2/BT2,0)</f>
        <v>0.1111111111111111</v>
      </c>
      <c r="CE2" s="326">
        <f t="shared" ref="CE2:CE11" si="82">DW2-ER2-EU2</f>
        <v>0</v>
      </c>
      <c r="CF2" s="326">
        <f t="shared" ref="CF2:CF11" si="83">ER2</f>
        <v>1</v>
      </c>
      <c r="CG2" s="326">
        <f t="shared" ref="CG2:CG11" si="84">EU2</f>
        <v>0</v>
      </c>
      <c r="CH2" s="21">
        <f t="shared" ref="CH2:CH11" si="85">IFERROR((ER2/L2)/ES2,0)</f>
        <v>0.25395033860045141</v>
      </c>
      <c r="CI2" s="6">
        <f t="shared" ref="CI2:CI11" si="86">DZ2</f>
        <v>21.3</v>
      </c>
      <c r="CJ2" s="5">
        <f t="shared" ref="CJ2:CJ11" si="87">IFERROR(CI2/L2,0)</f>
        <v>4.3273137697516928</v>
      </c>
      <c r="CK2" s="178">
        <f t="shared" ref="CK2:CK11" si="88">IFERROR(EN2+EJ2+EI2+EG2,0)</f>
        <v>71</v>
      </c>
      <c r="CL2" s="5">
        <f t="shared" ref="CL2:CL11" si="89">IFERROR(CK2/L2,0)</f>
        <v>14.424379232505643</v>
      </c>
      <c r="CM2" s="6">
        <f t="shared" ref="CM2:CM11" si="90">IFERROR(EO2+EK2+EI2+EG2,0)</f>
        <v>40</v>
      </c>
      <c r="CN2" s="5">
        <f t="shared" ref="CN2:CN11" si="91">IFERROR(CM2/L2,0)</f>
        <v>8.1264108352144468</v>
      </c>
      <c r="CO2" s="21">
        <f t="shared" ref="CO2:CO11" si="92">IFERROR(CM2/CK2,0)</f>
        <v>0.56338028169014087</v>
      </c>
      <c r="CP2" s="6">
        <f t="shared" ref="CP2:CP11" si="93">IFERROR(EK2+AS2+(DY2-EU2)+EG2+ER2+EO2+(DW2*0.5)+(DX2*0.5),0)</f>
        <v>26.64</v>
      </c>
      <c r="CQ2" s="5">
        <f t="shared" ref="CQ2:CQ11" si="94">IFERROR(CP2/L2,0)</f>
        <v>5.4121896162528218</v>
      </c>
      <c r="CR2" s="6">
        <f t="shared" ref="CR2:CR11" si="95">IFERROR((EG2+(DY2-EU2)+AS2)+(DW2*0.75)+(DX2*0.75)+EK2+EO2,0)</f>
        <v>25.89</v>
      </c>
      <c r="CS2" s="5">
        <f t="shared" ref="CS2:CS11" si="96">IFERROR(CR2/L2,0)</f>
        <v>5.2598194130925506</v>
      </c>
      <c r="CT2" s="5">
        <f t="shared" ref="CT2:CT11" si="97">IFERROR((EE2+EI2+EO2+EQ2+ET2+EV2+EM2+EJ2+DY2+EG2+EH2)/L2,0)</f>
        <v>60.744920993227986</v>
      </c>
      <c r="CU2" s="5">
        <f t="shared" ref="CU2:CU11" si="98">IFERROR((EF2+EG2+DY2+EH2)/L2,0)</f>
        <v>47.539503386004512</v>
      </c>
      <c r="CV2" s="6">
        <f t="shared" ref="CV2:CV11" si="99">IFERROR((EG2+EH2),0)</f>
        <v>35</v>
      </c>
      <c r="CW2" s="5">
        <f t="shared" ref="CW2:CW11" si="100">IFERROR(CV2/L2,0)</f>
        <v>7.1106094808126405</v>
      </c>
      <c r="CX2" s="6">
        <f t="shared" ref="CX2:CX11" si="101">IFERROR(EI2+EJ2+EG2+(DY2-EU2)+EH2+EN2,0)</f>
        <v>94</v>
      </c>
      <c r="CY2" s="5">
        <f t="shared" ref="CY2:CY11" si="102">IFERROR(CX2/L2,0)</f>
        <v>19.09706546275395</v>
      </c>
      <c r="CZ2" s="6">
        <f t="shared" ref="CZ2:CZ11" si="103">IFERROR(EG2+DY2+EJ2,0)</f>
        <v>25</v>
      </c>
      <c r="DA2" s="5">
        <f t="shared" ref="DA2:DA11" si="104">IFERROR(CZ2/L2,0)</f>
        <v>5.0790067720090288</v>
      </c>
      <c r="DB2" s="6">
        <f t="shared" ref="DB2:DB11" si="105">(EJ2-EK2)+(EE2-EF2)+(EN2-EO2)</f>
        <v>58</v>
      </c>
      <c r="DC2" s="5">
        <f t="shared" ref="DC2:DC11" si="106">IFERROR(DB2/L2,0)</f>
        <v>11.783295711060948</v>
      </c>
      <c r="DD2" s="5">
        <f t="shared" ref="DD2:DD11" si="107">DZ2</f>
        <v>21.3</v>
      </c>
      <c r="DE2" s="5">
        <f t="shared" ref="DE2:DE11" si="108">VALUE(SUBSTITUTE(EX2, " km", ""))</f>
        <v>56.1</v>
      </c>
      <c r="DF2" s="5">
        <f t="shared" ref="DF2:DF11" si="109">IFERROR(DE2/L2,0)</f>
        <v>11.397291196388261</v>
      </c>
      <c r="DG2" s="314">
        <f t="shared" ref="DG2:DG11" si="110">DH2*L2</f>
        <v>54.144444444444446</v>
      </c>
      <c r="DH2" s="315">
        <f t="shared" ref="DH2:DH11" si="111">EW2</f>
        <v>11</v>
      </c>
      <c r="DI2" s="62">
        <f t="shared" ref="DI2:DI11" si="112">IFERROR(VALUE(SUBSTITUTE(EY2, ".", ",")),0)</f>
        <v>6.73</v>
      </c>
      <c r="DJ2" s="298" t="s">
        <v>19</v>
      </c>
      <c r="DK2" s="294" t="s">
        <v>13</v>
      </c>
      <c r="DL2" s="294" t="s">
        <v>966</v>
      </c>
      <c r="DM2" s="294">
        <v>22</v>
      </c>
      <c r="DN2" s="294" t="s">
        <v>961</v>
      </c>
      <c r="DO2" s="294" t="s">
        <v>802</v>
      </c>
      <c r="DP2" s="294" t="s">
        <v>601</v>
      </c>
      <c r="DQ2" s="392">
        <v>0</v>
      </c>
      <c r="DR2" s="294" t="s">
        <v>855</v>
      </c>
      <c r="DS2" s="295">
        <v>46173</v>
      </c>
      <c r="DT2" s="294">
        <v>443</v>
      </c>
      <c r="DU2" s="294">
        <v>6</v>
      </c>
      <c r="DV2" s="294">
        <v>0</v>
      </c>
      <c r="DW2" s="294">
        <v>1</v>
      </c>
      <c r="DX2" s="294">
        <v>0</v>
      </c>
      <c r="DY2" s="294">
        <v>2</v>
      </c>
      <c r="DZ2" s="294">
        <v>21.3</v>
      </c>
      <c r="EA2" s="294" t="s">
        <v>793</v>
      </c>
      <c r="EB2" s="294" t="s">
        <v>825</v>
      </c>
      <c r="EC2" s="294">
        <v>2</v>
      </c>
      <c r="ED2" s="294">
        <v>12</v>
      </c>
      <c r="EE2" s="294">
        <v>224</v>
      </c>
      <c r="EF2" s="294">
        <v>197</v>
      </c>
      <c r="EG2" s="294">
        <v>14</v>
      </c>
      <c r="EH2" s="294">
        <v>21</v>
      </c>
      <c r="EI2" s="294">
        <v>18</v>
      </c>
      <c r="EJ2" s="294">
        <v>9</v>
      </c>
      <c r="EK2" s="294">
        <v>5</v>
      </c>
      <c r="EL2" s="294">
        <v>40</v>
      </c>
      <c r="EM2" s="294">
        <v>5</v>
      </c>
      <c r="EN2" s="294">
        <v>30</v>
      </c>
      <c r="EO2" s="294">
        <v>3</v>
      </c>
      <c r="EP2" s="294">
        <v>30</v>
      </c>
      <c r="EQ2" s="294">
        <v>3</v>
      </c>
      <c r="ER2" s="294">
        <v>1</v>
      </c>
      <c r="ES2" s="294">
        <v>0.8</v>
      </c>
      <c r="ET2" s="294">
        <v>0</v>
      </c>
      <c r="EU2" s="294">
        <v>0</v>
      </c>
      <c r="EV2" s="294">
        <v>0</v>
      </c>
      <c r="EW2" s="294">
        <v>11</v>
      </c>
      <c r="EX2" s="294" t="s">
        <v>967</v>
      </c>
      <c r="EY2" s="299">
        <v>6.73</v>
      </c>
    </row>
    <row r="3" spans="1:155" ht="24.95" customHeight="1" thickBot="1" x14ac:dyDescent="0.3">
      <c r="A3" s="29" t="str">
        <f t="shared" si="0"/>
        <v>2º</v>
      </c>
      <c r="B3" s="69" t="str">
        <f t="shared" si="1"/>
        <v>Allan Souza</v>
      </c>
      <c r="C3" s="86" t="str">
        <f t="shared" si="2"/>
        <v>BRA</v>
      </c>
      <c r="D3" s="99" t="str">
        <f t="shared" si="3"/>
        <v>Pé Esquerdo</v>
      </c>
      <c r="E3" s="9" t="str">
        <f t="shared" si="4"/>
        <v>União Suzano</v>
      </c>
      <c r="F3" s="166">
        <f t="shared" si="5"/>
        <v>1.76</v>
      </c>
      <c r="G3" s="35">
        <f t="shared" si="6"/>
        <v>46140</v>
      </c>
      <c r="H3" s="7">
        <f t="shared" si="7"/>
        <v>24</v>
      </c>
      <c r="I3" s="327" t="str">
        <f t="shared" si="8"/>
        <v>€1,2m p/m</v>
      </c>
      <c r="J3" s="3">
        <f t="shared" si="9"/>
        <v>0</v>
      </c>
      <c r="K3" s="96">
        <f t="shared" si="10"/>
        <v>4.5533333333333328</v>
      </c>
      <c r="L3" s="143">
        <f t="shared" si="11"/>
        <v>6</v>
      </c>
      <c r="M3" s="144">
        <f t="shared" si="12"/>
        <v>6</v>
      </c>
      <c r="N3" s="144">
        <f t="shared" si="13"/>
        <v>90</v>
      </c>
      <c r="O3" s="184">
        <f t="shared" si="14"/>
        <v>1</v>
      </c>
      <c r="P3" s="2">
        <f t="shared" si="15"/>
        <v>3</v>
      </c>
      <c r="Q3" s="2">
        <f t="shared" si="16"/>
        <v>0</v>
      </c>
      <c r="R3" s="2">
        <f t="shared" si="17"/>
        <v>3</v>
      </c>
      <c r="S3" s="6">
        <f t="shared" si="18"/>
        <v>1</v>
      </c>
      <c r="T3" s="24">
        <f t="shared" si="19"/>
        <v>540</v>
      </c>
      <c r="U3" s="21">
        <f t="shared" si="20"/>
        <v>0.16666666666666666</v>
      </c>
      <c r="V3" s="326">
        <f t="shared" si="21"/>
        <v>0</v>
      </c>
      <c r="W3" s="328">
        <f t="shared" si="22"/>
        <v>0</v>
      </c>
      <c r="X3" s="326">
        <f t="shared" si="23"/>
        <v>0</v>
      </c>
      <c r="Y3" s="328">
        <f t="shared" si="24"/>
        <v>0</v>
      </c>
      <c r="Z3" s="318">
        <f t="shared" si="25"/>
        <v>0</v>
      </c>
      <c r="AA3" s="326">
        <f t="shared" si="26"/>
        <v>0</v>
      </c>
      <c r="AB3" s="314">
        <f t="shared" si="27"/>
        <v>0</v>
      </c>
      <c r="AC3" s="314">
        <f t="shared" si="28"/>
        <v>0</v>
      </c>
      <c r="AD3" s="314">
        <f t="shared" si="29"/>
        <v>0</v>
      </c>
      <c r="AE3" s="21">
        <f t="shared" si="30"/>
        <v>9.9999999999999995E-8</v>
      </c>
      <c r="AF3" s="6">
        <f t="shared" si="31"/>
        <v>3</v>
      </c>
      <c r="AG3" s="6">
        <f t="shared" si="32"/>
        <v>0</v>
      </c>
      <c r="AH3" s="6">
        <f t="shared" si="33"/>
        <v>3</v>
      </c>
      <c r="AI3" s="6">
        <f t="shared" si="34"/>
        <v>3</v>
      </c>
      <c r="AJ3" s="2">
        <f t="shared" si="35"/>
        <v>0</v>
      </c>
      <c r="AK3" s="5">
        <f t="shared" si="36"/>
        <v>0.5</v>
      </c>
      <c r="AL3" s="5">
        <f t="shared" si="37"/>
        <v>0</v>
      </c>
      <c r="AM3" s="5">
        <f t="shared" si="38"/>
        <v>0.5</v>
      </c>
      <c r="AN3" s="332">
        <f t="shared" si="39"/>
        <v>24</v>
      </c>
      <c r="AO3" s="333">
        <f t="shared" si="40"/>
        <v>4</v>
      </c>
      <c r="AP3" s="5">
        <f t="shared" si="41"/>
        <v>0.57999999999999996</v>
      </c>
      <c r="AQ3" s="5">
        <f t="shared" si="42"/>
        <v>0.57999999999999996</v>
      </c>
      <c r="AR3" s="5">
        <f t="shared" si="43"/>
        <v>9.6666666666666665E-2</v>
      </c>
      <c r="AS3" s="5">
        <f t="shared" si="44"/>
        <v>1.1299999999999999</v>
      </c>
      <c r="AT3" s="5">
        <f t="shared" si="45"/>
        <v>0.18833333333333332</v>
      </c>
      <c r="AU3" s="5">
        <f t="shared" si="46"/>
        <v>1.71</v>
      </c>
      <c r="AV3" s="5">
        <f t="shared" si="47"/>
        <v>0.28499999999999998</v>
      </c>
      <c r="AW3" s="21">
        <f t="shared" si="48"/>
        <v>1</v>
      </c>
      <c r="AX3" s="21">
        <f t="shared" si="49"/>
        <v>0.83798882681564246</v>
      </c>
      <c r="AY3" s="6">
        <f t="shared" si="50"/>
        <v>44</v>
      </c>
      <c r="AZ3" s="6">
        <f t="shared" si="51"/>
        <v>3</v>
      </c>
      <c r="BA3" s="21">
        <f t="shared" si="52"/>
        <v>6.8181818181818177E-2</v>
      </c>
      <c r="BB3" s="6">
        <f t="shared" si="53"/>
        <v>256</v>
      </c>
      <c r="BC3" s="6">
        <f t="shared" si="54"/>
        <v>228</v>
      </c>
      <c r="BD3" s="24">
        <f t="shared" si="55"/>
        <v>42.666666666666664</v>
      </c>
      <c r="BE3" s="24">
        <f t="shared" si="56"/>
        <v>38</v>
      </c>
      <c r="BF3" s="24">
        <f t="shared" si="57"/>
        <v>4.6666666666666643</v>
      </c>
      <c r="BG3" s="20">
        <f t="shared" si="58"/>
        <v>0.890625</v>
      </c>
      <c r="BH3" s="6">
        <f t="shared" si="59"/>
        <v>28</v>
      </c>
      <c r="BI3" s="21">
        <f t="shared" si="60"/>
        <v>0.109375</v>
      </c>
      <c r="BJ3" s="208">
        <f t="shared" si="61"/>
        <v>11</v>
      </c>
      <c r="BK3" s="196">
        <f t="shared" si="62"/>
        <v>1.8333333333333333</v>
      </c>
      <c r="BL3" s="5">
        <f t="shared" si="63"/>
        <v>25</v>
      </c>
      <c r="BM3" s="21">
        <f t="shared" si="64"/>
        <v>0</v>
      </c>
      <c r="BN3" s="5">
        <f t="shared" si="65"/>
        <v>1.1299999999999999</v>
      </c>
      <c r="BO3" s="5">
        <f t="shared" si="66"/>
        <v>0.10272727272727272</v>
      </c>
      <c r="BP3" s="24">
        <f t="shared" si="67"/>
        <v>49.090909090909093</v>
      </c>
      <c r="BQ3" s="5">
        <f t="shared" si="68"/>
        <v>25.714285714285715</v>
      </c>
      <c r="BR3" s="5">
        <f t="shared" si="69"/>
        <v>2.42</v>
      </c>
      <c r="BS3" s="5">
        <f t="shared" si="70"/>
        <v>2.42</v>
      </c>
      <c r="BT3" s="6">
        <f t="shared" si="71"/>
        <v>9</v>
      </c>
      <c r="BU3" s="5">
        <f t="shared" si="72"/>
        <v>1.5</v>
      </c>
      <c r="BV3" s="6">
        <f t="shared" si="73"/>
        <v>3</v>
      </c>
      <c r="BW3" s="5">
        <f t="shared" si="74"/>
        <v>0.5</v>
      </c>
      <c r="BX3" s="6">
        <f t="shared" si="75"/>
        <v>6</v>
      </c>
      <c r="BY3" s="5">
        <f t="shared" si="76"/>
        <v>1</v>
      </c>
      <c r="BZ3" s="5">
        <f t="shared" si="77"/>
        <v>1</v>
      </c>
      <c r="CA3" s="21">
        <f t="shared" si="78"/>
        <v>0.66666666666666663</v>
      </c>
      <c r="CB3" s="5">
        <f t="shared" si="79"/>
        <v>3</v>
      </c>
      <c r="CC3" s="5">
        <f t="shared" si="80"/>
        <v>2</v>
      </c>
      <c r="CD3" s="21">
        <f t="shared" si="81"/>
        <v>0.33333333333333331</v>
      </c>
      <c r="CE3" s="326">
        <f t="shared" si="82"/>
        <v>3</v>
      </c>
      <c r="CF3" s="326">
        <f t="shared" si="83"/>
        <v>0</v>
      </c>
      <c r="CG3" s="326">
        <f t="shared" si="84"/>
        <v>0</v>
      </c>
      <c r="CH3" s="21">
        <f t="shared" si="85"/>
        <v>0</v>
      </c>
      <c r="CI3" s="6">
        <f t="shared" si="86"/>
        <v>19.7</v>
      </c>
      <c r="CJ3" s="5">
        <f t="shared" si="87"/>
        <v>3.2833333333333332</v>
      </c>
      <c r="CK3" s="178">
        <f t="shared" si="88"/>
        <v>88</v>
      </c>
      <c r="CL3" s="5">
        <f t="shared" si="89"/>
        <v>14.666666666666666</v>
      </c>
      <c r="CM3" s="6">
        <f t="shared" si="90"/>
        <v>44</v>
      </c>
      <c r="CN3" s="5">
        <f t="shared" si="91"/>
        <v>7.333333333333333</v>
      </c>
      <c r="CO3" s="21">
        <f t="shared" si="92"/>
        <v>0.5</v>
      </c>
      <c r="CP3" s="6">
        <f t="shared" si="93"/>
        <v>26.63</v>
      </c>
      <c r="CQ3" s="5">
        <f t="shared" si="94"/>
        <v>4.4383333333333335</v>
      </c>
      <c r="CR3" s="6">
        <f t="shared" si="95"/>
        <v>27.38</v>
      </c>
      <c r="CS3" s="5">
        <f t="shared" si="96"/>
        <v>4.5633333333333335</v>
      </c>
      <c r="CT3" s="5">
        <f t="shared" si="97"/>
        <v>56.666666666666664</v>
      </c>
      <c r="CU3" s="5">
        <f t="shared" si="98"/>
        <v>44.833333333333336</v>
      </c>
      <c r="CV3" s="6">
        <f t="shared" si="99"/>
        <v>37</v>
      </c>
      <c r="CW3" s="5">
        <f t="shared" si="100"/>
        <v>6.166666666666667</v>
      </c>
      <c r="CX3" s="6">
        <f t="shared" si="101"/>
        <v>118</v>
      </c>
      <c r="CY3" s="5">
        <f t="shared" si="102"/>
        <v>19.666666666666668</v>
      </c>
      <c r="CZ3" s="6">
        <f t="shared" si="103"/>
        <v>24</v>
      </c>
      <c r="DA3" s="5">
        <f t="shared" si="104"/>
        <v>4</v>
      </c>
      <c r="DB3" s="6">
        <f t="shared" si="105"/>
        <v>72</v>
      </c>
      <c r="DC3" s="5">
        <f t="shared" si="106"/>
        <v>12</v>
      </c>
      <c r="DD3" s="5">
        <f t="shared" si="107"/>
        <v>19.7</v>
      </c>
      <c r="DE3" s="5">
        <f t="shared" si="108"/>
        <v>72.599999999999994</v>
      </c>
      <c r="DF3" s="5">
        <f t="shared" si="109"/>
        <v>12.1</v>
      </c>
      <c r="DG3" s="314">
        <f t="shared" si="110"/>
        <v>91.199999999999989</v>
      </c>
      <c r="DH3" s="315">
        <f t="shared" si="111"/>
        <v>15.2</v>
      </c>
      <c r="DI3" s="62">
        <f t="shared" si="112"/>
        <v>7.27</v>
      </c>
      <c r="DJ3" s="296" t="s">
        <v>19</v>
      </c>
      <c r="DK3" s="292" t="s">
        <v>13</v>
      </c>
      <c r="DL3" s="292" t="s">
        <v>958</v>
      </c>
      <c r="DM3" s="292">
        <v>24</v>
      </c>
      <c r="DN3" s="292" t="s">
        <v>869</v>
      </c>
      <c r="DO3" s="292" t="s">
        <v>561</v>
      </c>
      <c r="DP3" s="292" t="s">
        <v>607</v>
      </c>
      <c r="DQ3" s="393">
        <v>0</v>
      </c>
      <c r="DR3" s="292" t="s">
        <v>855</v>
      </c>
      <c r="DS3" s="293">
        <v>46140</v>
      </c>
      <c r="DT3" s="292">
        <v>540</v>
      </c>
      <c r="DU3" s="292">
        <v>6</v>
      </c>
      <c r="DV3" s="292">
        <v>1</v>
      </c>
      <c r="DW3" s="292">
        <v>3</v>
      </c>
      <c r="DX3" s="292">
        <v>0</v>
      </c>
      <c r="DY3" s="292">
        <v>4</v>
      </c>
      <c r="DZ3" s="292">
        <v>19.7</v>
      </c>
      <c r="EA3" s="292" t="s">
        <v>870</v>
      </c>
      <c r="EB3" s="292" t="s">
        <v>939</v>
      </c>
      <c r="EC3" s="292">
        <v>5</v>
      </c>
      <c r="ED3" s="292">
        <v>3</v>
      </c>
      <c r="EE3" s="292">
        <v>256</v>
      </c>
      <c r="EF3" s="292">
        <v>228</v>
      </c>
      <c r="EG3" s="292">
        <v>11</v>
      </c>
      <c r="EH3" s="292">
        <v>26</v>
      </c>
      <c r="EI3" s="292">
        <v>24</v>
      </c>
      <c r="EJ3" s="292">
        <v>9</v>
      </c>
      <c r="EK3" s="292">
        <v>6</v>
      </c>
      <c r="EL3" s="292">
        <v>53</v>
      </c>
      <c r="EM3" s="292">
        <v>4</v>
      </c>
      <c r="EN3" s="292">
        <v>44</v>
      </c>
      <c r="EO3" s="292">
        <v>3</v>
      </c>
      <c r="EP3" s="292">
        <v>44</v>
      </c>
      <c r="EQ3" s="292">
        <v>3</v>
      </c>
      <c r="ER3" s="292">
        <v>0</v>
      </c>
      <c r="ES3" s="292">
        <v>0.3</v>
      </c>
      <c r="ET3" s="292">
        <v>0</v>
      </c>
      <c r="EU3" s="292">
        <v>0</v>
      </c>
      <c r="EV3" s="292">
        <v>0</v>
      </c>
      <c r="EW3" s="292">
        <v>15.2</v>
      </c>
      <c r="EX3" s="292" t="s">
        <v>959</v>
      </c>
      <c r="EY3" s="297">
        <v>7.27</v>
      </c>
    </row>
    <row r="4" spans="1:155" ht="24.95" customHeight="1" thickBot="1" x14ac:dyDescent="0.3">
      <c r="A4" s="29" t="str">
        <f t="shared" si="0"/>
        <v>3º</v>
      </c>
      <c r="B4" s="69" t="str">
        <f t="shared" si="1"/>
        <v>Danilo</v>
      </c>
      <c r="C4" s="86" t="str">
        <f t="shared" si="2"/>
        <v>BRA</v>
      </c>
      <c r="D4" s="99" t="str">
        <f t="shared" si="3"/>
        <v>Somente Pé Esquerdo</v>
      </c>
      <c r="E4" s="9" t="str">
        <f t="shared" si="4"/>
        <v>Várzea Grande</v>
      </c>
      <c r="F4" s="166">
        <f t="shared" si="5"/>
        <v>1.79</v>
      </c>
      <c r="G4" s="35">
        <f t="shared" si="6"/>
        <v>46173</v>
      </c>
      <c r="H4" s="7">
        <f t="shared" si="7"/>
        <v>22</v>
      </c>
      <c r="I4" s="327" t="str">
        <f t="shared" si="8"/>
        <v>€1,2m p/m</v>
      </c>
      <c r="J4" s="3">
        <f t="shared" si="9"/>
        <v>0</v>
      </c>
      <c r="K4" s="96">
        <f t="shared" si="10"/>
        <v>4.5533333333333328</v>
      </c>
      <c r="L4" s="143">
        <f t="shared" si="11"/>
        <v>4</v>
      </c>
      <c r="M4" s="144">
        <f t="shared" si="12"/>
        <v>4</v>
      </c>
      <c r="N4" s="144">
        <f t="shared" si="13"/>
        <v>90</v>
      </c>
      <c r="O4" s="184">
        <f t="shared" si="14"/>
        <v>1</v>
      </c>
      <c r="P4" s="2">
        <f t="shared" si="15"/>
        <v>1</v>
      </c>
      <c r="Q4" s="2">
        <f t="shared" si="16"/>
        <v>0</v>
      </c>
      <c r="R4" s="2">
        <f t="shared" si="17"/>
        <v>1</v>
      </c>
      <c r="S4" s="6">
        <f t="shared" si="18"/>
        <v>0</v>
      </c>
      <c r="T4" s="24">
        <f t="shared" si="19"/>
        <v>5000</v>
      </c>
      <c r="U4" s="21">
        <f t="shared" si="20"/>
        <v>0</v>
      </c>
      <c r="V4" s="326">
        <f t="shared" si="21"/>
        <v>26</v>
      </c>
      <c r="W4" s="328">
        <f t="shared" si="22"/>
        <v>6.5</v>
      </c>
      <c r="X4" s="326">
        <f t="shared" si="23"/>
        <v>2</v>
      </c>
      <c r="Y4" s="328">
        <f t="shared" si="24"/>
        <v>0.5</v>
      </c>
      <c r="Z4" s="318">
        <f t="shared" si="25"/>
        <v>7.6923076923076927E-2</v>
      </c>
      <c r="AA4" s="326">
        <f t="shared" si="26"/>
        <v>0</v>
      </c>
      <c r="AB4" s="314">
        <f t="shared" si="27"/>
        <v>0</v>
      </c>
      <c r="AC4" s="314">
        <f t="shared" si="28"/>
        <v>0</v>
      </c>
      <c r="AD4" s="314">
        <f t="shared" si="29"/>
        <v>0</v>
      </c>
      <c r="AE4" s="21">
        <f t="shared" si="30"/>
        <v>9.9999999999999995E-8</v>
      </c>
      <c r="AF4" s="6">
        <f t="shared" si="31"/>
        <v>1</v>
      </c>
      <c r="AG4" s="6">
        <f t="shared" si="32"/>
        <v>0</v>
      </c>
      <c r="AH4" s="6">
        <f t="shared" si="33"/>
        <v>1</v>
      </c>
      <c r="AI4" s="6">
        <f t="shared" si="34"/>
        <v>1</v>
      </c>
      <c r="AJ4" s="2">
        <f t="shared" si="35"/>
        <v>0</v>
      </c>
      <c r="AK4" s="5">
        <f t="shared" si="36"/>
        <v>0.25</v>
      </c>
      <c r="AL4" s="5">
        <f t="shared" si="37"/>
        <v>0</v>
      </c>
      <c r="AM4" s="5">
        <f t="shared" si="38"/>
        <v>0.25</v>
      </c>
      <c r="AN4" s="332">
        <f t="shared" si="39"/>
        <v>1</v>
      </c>
      <c r="AO4" s="333">
        <f t="shared" si="40"/>
        <v>0.25</v>
      </c>
      <c r="AP4" s="5">
        <f t="shared" si="41"/>
        <v>0.3</v>
      </c>
      <c r="AQ4" s="5">
        <f t="shared" si="42"/>
        <v>0.3</v>
      </c>
      <c r="AR4" s="5">
        <f t="shared" si="43"/>
        <v>7.4999999999999997E-2</v>
      </c>
      <c r="AS4" s="5">
        <f t="shared" si="44"/>
        <v>1.1100000000000001</v>
      </c>
      <c r="AT4" s="5">
        <f t="shared" si="45"/>
        <v>0.27750000000000002</v>
      </c>
      <c r="AU4" s="5">
        <f t="shared" si="46"/>
        <v>1.4100000000000001</v>
      </c>
      <c r="AV4" s="5">
        <f t="shared" si="47"/>
        <v>0.35250000000000004</v>
      </c>
      <c r="AW4" s="21">
        <f t="shared" si="48"/>
        <v>1</v>
      </c>
      <c r="AX4" s="21">
        <f t="shared" si="49"/>
        <v>0.76923076923076916</v>
      </c>
      <c r="AY4" s="6">
        <f t="shared" si="50"/>
        <v>4</v>
      </c>
      <c r="AZ4" s="6">
        <f t="shared" si="51"/>
        <v>1</v>
      </c>
      <c r="BA4" s="21">
        <f t="shared" si="52"/>
        <v>0.25</v>
      </c>
      <c r="BB4" s="6">
        <f t="shared" si="53"/>
        <v>163</v>
      </c>
      <c r="BC4" s="6">
        <f t="shared" si="54"/>
        <v>148</v>
      </c>
      <c r="BD4" s="24">
        <f t="shared" si="55"/>
        <v>40.75</v>
      </c>
      <c r="BE4" s="24">
        <f t="shared" si="56"/>
        <v>37</v>
      </c>
      <c r="BF4" s="24">
        <f t="shared" si="57"/>
        <v>3.75</v>
      </c>
      <c r="BG4" s="20">
        <f t="shared" si="58"/>
        <v>0.90797546012269936</v>
      </c>
      <c r="BH4" s="6">
        <f t="shared" si="59"/>
        <v>15</v>
      </c>
      <c r="BI4" s="21">
        <f t="shared" si="60"/>
        <v>9.2024539877300637E-2</v>
      </c>
      <c r="BJ4" s="208">
        <f t="shared" si="61"/>
        <v>15</v>
      </c>
      <c r="BK4" s="196">
        <f t="shared" si="62"/>
        <v>3.75</v>
      </c>
      <c r="BL4" s="5">
        <f t="shared" si="63"/>
        <v>25</v>
      </c>
      <c r="BM4" s="21">
        <f t="shared" si="64"/>
        <v>0</v>
      </c>
      <c r="BN4" s="5">
        <f t="shared" si="65"/>
        <v>1.1100000000000001</v>
      </c>
      <c r="BO4" s="5">
        <f t="shared" si="66"/>
        <v>7.400000000000001E-2</v>
      </c>
      <c r="BP4" s="24">
        <f t="shared" si="67"/>
        <v>24</v>
      </c>
      <c r="BQ4" s="5">
        <f t="shared" si="68"/>
        <v>22.5</v>
      </c>
      <c r="BR4" s="5">
        <f t="shared" si="69"/>
        <v>0.7</v>
      </c>
      <c r="BS4" s="5">
        <f t="shared" si="70"/>
        <v>0.7</v>
      </c>
      <c r="BT4" s="6">
        <f t="shared" si="71"/>
        <v>3</v>
      </c>
      <c r="BU4" s="5">
        <f t="shared" si="72"/>
        <v>0.75</v>
      </c>
      <c r="BV4" s="6">
        <f t="shared" si="73"/>
        <v>2</v>
      </c>
      <c r="BW4" s="5">
        <f t="shared" si="74"/>
        <v>0.5</v>
      </c>
      <c r="BX4" s="6">
        <f t="shared" si="75"/>
        <v>1</v>
      </c>
      <c r="BY4" s="5">
        <f t="shared" si="76"/>
        <v>0.25</v>
      </c>
      <c r="BZ4" s="5">
        <f t="shared" si="77"/>
        <v>0.25</v>
      </c>
      <c r="CA4" s="21">
        <f t="shared" si="78"/>
        <v>0.33333333333333331</v>
      </c>
      <c r="CB4" s="5">
        <f t="shared" si="79"/>
        <v>3</v>
      </c>
      <c r="CC4" s="5">
        <f t="shared" si="80"/>
        <v>1</v>
      </c>
      <c r="CD4" s="21">
        <f t="shared" si="81"/>
        <v>0.33333333333333331</v>
      </c>
      <c r="CE4" s="326">
        <f t="shared" si="82"/>
        <v>1</v>
      </c>
      <c r="CF4" s="326">
        <f t="shared" si="83"/>
        <v>0</v>
      </c>
      <c r="CG4" s="326">
        <f t="shared" si="84"/>
        <v>0</v>
      </c>
      <c r="CH4" s="21">
        <f t="shared" si="85"/>
        <v>0</v>
      </c>
      <c r="CI4" s="6">
        <f t="shared" si="86"/>
        <v>18.8</v>
      </c>
      <c r="CJ4" s="5">
        <f t="shared" si="87"/>
        <v>4.7</v>
      </c>
      <c r="CK4" s="178">
        <f t="shared" si="88"/>
        <v>23</v>
      </c>
      <c r="CL4" s="5">
        <f t="shared" si="89"/>
        <v>5.75</v>
      </c>
      <c r="CM4" s="6">
        <f t="shared" si="90"/>
        <v>18</v>
      </c>
      <c r="CN4" s="5">
        <f t="shared" si="91"/>
        <v>4.5</v>
      </c>
      <c r="CO4" s="21">
        <f t="shared" si="92"/>
        <v>0.78260869565217395</v>
      </c>
      <c r="CP4" s="6">
        <f t="shared" si="93"/>
        <v>18.61</v>
      </c>
      <c r="CQ4" s="5">
        <f t="shared" si="94"/>
        <v>4.6524999999999999</v>
      </c>
      <c r="CR4" s="6">
        <f t="shared" si="95"/>
        <v>18.86</v>
      </c>
      <c r="CS4" s="5">
        <f t="shared" si="96"/>
        <v>4.7149999999999999</v>
      </c>
      <c r="CT4" s="5">
        <f t="shared" si="97"/>
        <v>51.25</v>
      </c>
      <c r="CU4" s="5">
        <f t="shared" si="98"/>
        <v>44.25</v>
      </c>
      <c r="CV4" s="6">
        <f t="shared" si="99"/>
        <v>29</v>
      </c>
      <c r="CW4" s="5">
        <f t="shared" si="100"/>
        <v>7.25</v>
      </c>
      <c r="CX4" s="6">
        <f t="shared" si="101"/>
        <v>37</v>
      </c>
      <c r="CY4" s="5">
        <f t="shared" si="102"/>
        <v>9.25</v>
      </c>
      <c r="CZ4" s="6">
        <f t="shared" si="103"/>
        <v>18</v>
      </c>
      <c r="DA4" s="5">
        <f t="shared" si="104"/>
        <v>4.5</v>
      </c>
      <c r="DB4" s="6">
        <f t="shared" si="105"/>
        <v>20</v>
      </c>
      <c r="DC4" s="5">
        <f t="shared" si="106"/>
        <v>5</v>
      </c>
      <c r="DD4" s="5">
        <f t="shared" si="107"/>
        <v>18.8</v>
      </c>
      <c r="DE4" s="5">
        <f t="shared" si="108"/>
        <v>48.8</v>
      </c>
      <c r="DF4" s="5">
        <f t="shared" si="109"/>
        <v>12.2</v>
      </c>
      <c r="DG4" s="314">
        <f t="shared" si="110"/>
        <v>34</v>
      </c>
      <c r="DH4" s="315">
        <f t="shared" si="111"/>
        <v>8.5</v>
      </c>
      <c r="DI4" s="62">
        <f t="shared" si="112"/>
        <v>6.83</v>
      </c>
      <c r="DJ4" s="298"/>
      <c r="DK4" s="294" t="s">
        <v>13</v>
      </c>
      <c r="DL4" s="294" t="s">
        <v>972</v>
      </c>
      <c r="DM4" s="294">
        <v>22</v>
      </c>
      <c r="DN4" s="294" t="s">
        <v>906</v>
      </c>
      <c r="DO4" s="294" t="s">
        <v>583</v>
      </c>
      <c r="DP4" s="294" t="s">
        <v>790</v>
      </c>
      <c r="DQ4" s="392">
        <v>0</v>
      </c>
      <c r="DR4" s="294" t="s">
        <v>855</v>
      </c>
      <c r="DS4" s="295">
        <v>46173</v>
      </c>
      <c r="DT4" s="294">
        <v>360</v>
      </c>
      <c r="DU4" s="294">
        <v>4</v>
      </c>
      <c r="DV4" s="294">
        <v>0</v>
      </c>
      <c r="DW4" s="294">
        <v>1</v>
      </c>
      <c r="DX4" s="294">
        <v>0</v>
      </c>
      <c r="DY4" s="294">
        <v>0</v>
      </c>
      <c r="DZ4" s="294">
        <v>18.8</v>
      </c>
      <c r="EA4" s="294" t="s">
        <v>876</v>
      </c>
      <c r="EB4" s="294" t="s">
        <v>973</v>
      </c>
      <c r="EC4" s="294">
        <v>1</v>
      </c>
      <c r="ED4" s="294">
        <v>2</v>
      </c>
      <c r="EE4" s="294">
        <v>163</v>
      </c>
      <c r="EF4" s="294">
        <v>148</v>
      </c>
      <c r="EG4" s="294">
        <v>15</v>
      </c>
      <c r="EH4" s="294">
        <v>14</v>
      </c>
      <c r="EI4" s="294">
        <v>1</v>
      </c>
      <c r="EJ4" s="294">
        <v>3</v>
      </c>
      <c r="EK4" s="294">
        <v>1</v>
      </c>
      <c r="EL4" s="294">
        <v>20</v>
      </c>
      <c r="EM4" s="294">
        <v>5</v>
      </c>
      <c r="EN4" s="294">
        <v>4</v>
      </c>
      <c r="EO4" s="294">
        <v>1</v>
      </c>
      <c r="EP4" s="294">
        <v>30</v>
      </c>
      <c r="EQ4" s="294">
        <v>3</v>
      </c>
      <c r="ER4" s="294">
        <v>0</v>
      </c>
      <c r="ES4" s="294">
        <v>0</v>
      </c>
      <c r="ET4" s="294">
        <v>0</v>
      </c>
      <c r="EU4" s="294">
        <v>0</v>
      </c>
      <c r="EV4" s="294">
        <v>0</v>
      </c>
      <c r="EW4" s="294">
        <v>8.5</v>
      </c>
      <c r="EX4" s="294" t="s">
        <v>971</v>
      </c>
      <c r="EY4" s="299">
        <v>6.83</v>
      </c>
    </row>
    <row r="5" spans="1:155" ht="24.95" customHeight="1" thickBot="1" x14ac:dyDescent="0.3">
      <c r="A5" s="29" t="str">
        <f t="shared" si="0"/>
        <v>4º</v>
      </c>
      <c r="B5" s="69" t="str">
        <f t="shared" si="1"/>
        <v>Alessandro Sena</v>
      </c>
      <c r="C5" s="86" t="str">
        <f t="shared" si="2"/>
        <v>BRA</v>
      </c>
      <c r="D5" s="99" t="str">
        <f t="shared" si="3"/>
        <v>Pé Esquerdo</v>
      </c>
      <c r="E5" s="9" t="str">
        <f t="shared" si="4"/>
        <v>Ypiranga (AP)</v>
      </c>
      <c r="F5" s="166">
        <f t="shared" si="5"/>
        <v>1.8</v>
      </c>
      <c r="G5" s="35">
        <f t="shared" si="6"/>
        <v>46173</v>
      </c>
      <c r="H5" s="7">
        <f t="shared" si="7"/>
        <v>28</v>
      </c>
      <c r="I5" s="327" t="str">
        <f t="shared" si="8"/>
        <v>€1,2m p/m</v>
      </c>
      <c r="J5" s="3">
        <f t="shared" si="9"/>
        <v>0</v>
      </c>
      <c r="K5" s="96">
        <f t="shared" si="10"/>
        <v>4.5533333333333328</v>
      </c>
      <c r="L5" s="143">
        <f t="shared" si="11"/>
        <v>3.8444444444444446</v>
      </c>
      <c r="M5" s="144">
        <f t="shared" si="12"/>
        <v>4</v>
      </c>
      <c r="N5" s="144">
        <f t="shared" si="13"/>
        <v>86.5</v>
      </c>
      <c r="O5" s="184">
        <f t="shared" si="14"/>
        <v>1</v>
      </c>
      <c r="P5" s="2">
        <f t="shared" si="15"/>
        <v>0</v>
      </c>
      <c r="Q5" s="2">
        <f t="shared" si="16"/>
        <v>1</v>
      </c>
      <c r="R5" s="2">
        <f t="shared" si="17"/>
        <v>1</v>
      </c>
      <c r="S5" s="6">
        <f t="shared" si="18"/>
        <v>0</v>
      </c>
      <c r="T5" s="24">
        <f t="shared" si="19"/>
        <v>5000</v>
      </c>
      <c r="U5" s="21">
        <f t="shared" si="20"/>
        <v>0</v>
      </c>
      <c r="V5" s="326">
        <f t="shared" si="21"/>
        <v>0</v>
      </c>
      <c r="W5" s="328">
        <f t="shared" si="22"/>
        <v>0</v>
      </c>
      <c r="X5" s="326">
        <f t="shared" si="23"/>
        <v>0</v>
      </c>
      <c r="Y5" s="328">
        <f t="shared" si="24"/>
        <v>0</v>
      </c>
      <c r="Z5" s="318">
        <f t="shared" si="25"/>
        <v>0</v>
      </c>
      <c r="AA5" s="326">
        <f t="shared" si="26"/>
        <v>0</v>
      </c>
      <c r="AB5" s="314">
        <f t="shared" si="27"/>
        <v>0</v>
      </c>
      <c r="AC5" s="314">
        <f t="shared" si="28"/>
        <v>0</v>
      </c>
      <c r="AD5" s="314">
        <f t="shared" si="29"/>
        <v>0</v>
      </c>
      <c r="AE5" s="21">
        <f t="shared" si="30"/>
        <v>9.9999999999999995E-8</v>
      </c>
      <c r="AF5" s="6">
        <f t="shared" si="31"/>
        <v>0</v>
      </c>
      <c r="AG5" s="6">
        <f t="shared" si="32"/>
        <v>1</v>
      </c>
      <c r="AH5" s="6">
        <f t="shared" si="33"/>
        <v>1</v>
      </c>
      <c r="AI5" s="6">
        <f t="shared" si="34"/>
        <v>0</v>
      </c>
      <c r="AJ5" s="2">
        <f t="shared" si="35"/>
        <v>0</v>
      </c>
      <c r="AK5" s="5">
        <f t="shared" si="36"/>
        <v>0</v>
      </c>
      <c r="AL5" s="5">
        <f t="shared" si="37"/>
        <v>0.26011560693641617</v>
      </c>
      <c r="AM5" s="5">
        <f t="shared" si="38"/>
        <v>0.26011560693641617</v>
      </c>
      <c r="AN5" s="332">
        <f t="shared" si="39"/>
        <v>3</v>
      </c>
      <c r="AO5" s="333">
        <f t="shared" si="40"/>
        <v>0.78034682080924855</v>
      </c>
      <c r="AP5" s="5">
        <f t="shared" si="41"/>
        <v>0.09</v>
      </c>
      <c r="AQ5" s="5">
        <f t="shared" si="42"/>
        <v>0.09</v>
      </c>
      <c r="AR5" s="5">
        <f t="shared" si="43"/>
        <v>2.3410404624277455E-2</v>
      </c>
      <c r="AS5" s="5">
        <f t="shared" si="44"/>
        <v>1.62</v>
      </c>
      <c r="AT5" s="5">
        <f t="shared" si="45"/>
        <v>0.42138728323699426</v>
      </c>
      <c r="AU5" s="5">
        <f t="shared" si="46"/>
        <v>1.7100000000000002</v>
      </c>
      <c r="AV5" s="5">
        <f t="shared" si="47"/>
        <v>0.44479768786127172</v>
      </c>
      <c r="AW5" s="21">
        <f t="shared" si="48"/>
        <v>0.61832061068702293</v>
      </c>
      <c r="AX5" s="21">
        <f t="shared" si="49"/>
        <v>0</v>
      </c>
      <c r="AY5" s="6">
        <f t="shared" si="50"/>
        <v>3</v>
      </c>
      <c r="AZ5" s="6">
        <f t="shared" si="51"/>
        <v>1</v>
      </c>
      <c r="BA5" s="21">
        <f t="shared" si="52"/>
        <v>0.33333333333333331</v>
      </c>
      <c r="BB5" s="6">
        <f t="shared" si="53"/>
        <v>161</v>
      </c>
      <c r="BC5" s="6">
        <f t="shared" si="54"/>
        <v>144</v>
      </c>
      <c r="BD5" s="24">
        <f t="shared" si="55"/>
        <v>41.878612716763001</v>
      </c>
      <c r="BE5" s="24">
        <f t="shared" si="56"/>
        <v>37.456647398843927</v>
      </c>
      <c r="BF5" s="24">
        <f t="shared" si="57"/>
        <v>4.4219653179190743</v>
      </c>
      <c r="BG5" s="20">
        <f t="shared" si="58"/>
        <v>0.89440993788819878</v>
      </c>
      <c r="BH5" s="6">
        <f t="shared" si="59"/>
        <v>17</v>
      </c>
      <c r="BI5" s="21">
        <f t="shared" si="60"/>
        <v>0.10559006211180122</v>
      </c>
      <c r="BJ5" s="208">
        <f t="shared" si="61"/>
        <v>12</v>
      </c>
      <c r="BK5" s="196">
        <f t="shared" si="62"/>
        <v>3.1213872832369942</v>
      </c>
      <c r="BL5" s="5">
        <f t="shared" si="63"/>
        <v>12</v>
      </c>
      <c r="BM5" s="21">
        <f t="shared" si="64"/>
        <v>8.3333333333333329E-2</v>
      </c>
      <c r="BN5" s="5">
        <f t="shared" si="65"/>
        <v>0.62000000000000011</v>
      </c>
      <c r="BO5" s="5">
        <f t="shared" si="66"/>
        <v>0.13500000000000001</v>
      </c>
      <c r="BP5" s="24">
        <f t="shared" si="67"/>
        <v>28.833333333333332</v>
      </c>
      <c r="BQ5" s="5">
        <f t="shared" si="68"/>
        <v>23.066666666666666</v>
      </c>
      <c r="BR5" s="5">
        <f t="shared" si="69"/>
        <v>-0.09</v>
      </c>
      <c r="BS5" s="5">
        <f t="shared" si="70"/>
        <v>-0.09</v>
      </c>
      <c r="BT5" s="6">
        <f t="shared" si="71"/>
        <v>3</v>
      </c>
      <c r="BU5" s="5">
        <f t="shared" si="72"/>
        <v>0.78034682080924855</v>
      </c>
      <c r="BV5" s="6">
        <f t="shared" si="73"/>
        <v>2</v>
      </c>
      <c r="BW5" s="5">
        <f t="shared" si="74"/>
        <v>0.52023121387283233</v>
      </c>
      <c r="BX5" s="6">
        <f t="shared" si="75"/>
        <v>1</v>
      </c>
      <c r="BY5" s="5">
        <f t="shared" si="76"/>
        <v>0.26011560693641617</v>
      </c>
      <c r="BZ5" s="5">
        <f t="shared" si="77"/>
        <v>0.26011560693641617</v>
      </c>
      <c r="CA5" s="21">
        <f t="shared" si="78"/>
        <v>0.33333333333333331</v>
      </c>
      <c r="CB5" s="5">
        <f t="shared" si="79"/>
        <v>50</v>
      </c>
      <c r="CC5" s="5">
        <f t="shared" si="80"/>
        <v>50</v>
      </c>
      <c r="CD5" s="21">
        <f t="shared" si="81"/>
        <v>0</v>
      </c>
      <c r="CE5" s="326">
        <f t="shared" si="82"/>
        <v>0</v>
      </c>
      <c r="CF5" s="326">
        <f t="shared" si="83"/>
        <v>0</v>
      </c>
      <c r="CG5" s="326">
        <f t="shared" si="84"/>
        <v>0</v>
      </c>
      <c r="CH5" s="21">
        <f t="shared" si="85"/>
        <v>0</v>
      </c>
      <c r="CI5" s="6">
        <f t="shared" si="86"/>
        <v>19.5</v>
      </c>
      <c r="CJ5" s="5">
        <f t="shared" si="87"/>
        <v>5.0722543352601157</v>
      </c>
      <c r="CK5" s="178">
        <f t="shared" si="88"/>
        <v>21</v>
      </c>
      <c r="CL5" s="5">
        <f t="shared" si="89"/>
        <v>5.4624277456647397</v>
      </c>
      <c r="CM5" s="6">
        <f t="shared" si="90"/>
        <v>17</v>
      </c>
      <c r="CN5" s="5">
        <f t="shared" si="91"/>
        <v>4.4219653179190752</v>
      </c>
      <c r="CO5" s="21">
        <f t="shared" si="92"/>
        <v>0.80952380952380953</v>
      </c>
      <c r="CP5" s="6">
        <f t="shared" si="93"/>
        <v>18.12</v>
      </c>
      <c r="CQ5" s="5">
        <f t="shared" si="94"/>
        <v>4.713294797687861</v>
      </c>
      <c r="CR5" s="6">
        <f t="shared" si="95"/>
        <v>18.37</v>
      </c>
      <c r="CS5" s="5">
        <f t="shared" si="96"/>
        <v>4.7783236994219651</v>
      </c>
      <c r="CT5" s="5">
        <f t="shared" si="97"/>
        <v>51.763005780346816</v>
      </c>
      <c r="CU5" s="5">
        <f t="shared" si="98"/>
        <v>44.21965317919075</v>
      </c>
      <c r="CV5" s="6">
        <f t="shared" si="99"/>
        <v>24</v>
      </c>
      <c r="CW5" s="5">
        <f t="shared" si="100"/>
        <v>6.2427745664739884</v>
      </c>
      <c r="CX5" s="6">
        <f t="shared" si="101"/>
        <v>35</v>
      </c>
      <c r="CY5" s="5">
        <f t="shared" si="102"/>
        <v>9.104046242774567</v>
      </c>
      <c r="CZ5" s="6">
        <f t="shared" si="103"/>
        <v>17</v>
      </c>
      <c r="DA5" s="5">
        <f t="shared" si="104"/>
        <v>4.4219653179190752</v>
      </c>
      <c r="DB5" s="6">
        <f t="shared" si="105"/>
        <v>21</v>
      </c>
      <c r="DC5" s="5">
        <f t="shared" si="106"/>
        <v>5.4624277456647397</v>
      </c>
      <c r="DD5" s="5">
        <f t="shared" si="107"/>
        <v>19.5</v>
      </c>
      <c r="DE5" s="5">
        <f t="shared" si="108"/>
        <v>44.7</v>
      </c>
      <c r="DF5" s="5">
        <f t="shared" si="109"/>
        <v>11.627167630057803</v>
      </c>
      <c r="DG5" s="314">
        <f t="shared" si="110"/>
        <v>26.911111111111111</v>
      </c>
      <c r="DH5" s="315">
        <f t="shared" si="111"/>
        <v>7</v>
      </c>
      <c r="DI5" s="62">
        <f t="shared" si="112"/>
        <v>6.78</v>
      </c>
      <c r="DJ5" s="296"/>
      <c r="DK5" s="292" t="s">
        <v>13</v>
      </c>
      <c r="DL5" s="292" t="s">
        <v>975</v>
      </c>
      <c r="DM5" s="292">
        <v>28</v>
      </c>
      <c r="DN5" s="292" t="s">
        <v>903</v>
      </c>
      <c r="DO5" s="292" t="s">
        <v>563</v>
      </c>
      <c r="DP5" s="292" t="s">
        <v>607</v>
      </c>
      <c r="DQ5" s="393">
        <v>0</v>
      </c>
      <c r="DR5" s="292" t="s">
        <v>855</v>
      </c>
      <c r="DS5" s="293">
        <v>46173</v>
      </c>
      <c r="DT5" s="292">
        <v>346</v>
      </c>
      <c r="DU5" s="292">
        <v>4</v>
      </c>
      <c r="DV5" s="292">
        <v>0</v>
      </c>
      <c r="DW5" s="292">
        <v>0</v>
      </c>
      <c r="DX5" s="292">
        <v>1</v>
      </c>
      <c r="DY5" s="292">
        <v>2</v>
      </c>
      <c r="DZ5" s="292">
        <v>19.5</v>
      </c>
      <c r="EA5" s="292" t="s">
        <v>928</v>
      </c>
      <c r="EB5" s="292" t="s">
        <v>957</v>
      </c>
      <c r="EC5" s="292">
        <v>3</v>
      </c>
      <c r="ED5" s="292">
        <v>0</v>
      </c>
      <c r="EE5" s="292">
        <v>161</v>
      </c>
      <c r="EF5" s="292">
        <v>144</v>
      </c>
      <c r="EG5" s="292">
        <v>12</v>
      </c>
      <c r="EH5" s="292">
        <v>12</v>
      </c>
      <c r="EI5" s="292">
        <v>3</v>
      </c>
      <c r="EJ5" s="292">
        <v>3</v>
      </c>
      <c r="EK5" s="292">
        <v>1</v>
      </c>
      <c r="EL5" s="292">
        <v>14</v>
      </c>
      <c r="EM5" s="292">
        <v>4</v>
      </c>
      <c r="EN5" s="292">
        <v>3</v>
      </c>
      <c r="EO5" s="292">
        <v>1</v>
      </c>
      <c r="EP5" s="292">
        <v>3</v>
      </c>
      <c r="EQ5" s="292">
        <v>1</v>
      </c>
      <c r="ER5" s="292">
        <v>0</v>
      </c>
      <c r="ES5" s="292">
        <v>0.5</v>
      </c>
      <c r="ET5" s="292">
        <v>0</v>
      </c>
      <c r="EU5" s="292">
        <v>0</v>
      </c>
      <c r="EV5" s="292">
        <v>0</v>
      </c>
      <c r="EW5" s="292">
        <v>7</v>
      </c>
      <c r="EX5" s="292" t="s">
        <v>976</v>
      </c>
      <c r="EY5" s="297">
        <v>6.78</v>
      </c>
    </row>
    <row r="6" spans="1:155" ht="24.95" customHeight="1" thickBot="1" x14ac:dyDescent="0.3">
      <c r="A6" s="29" t="str">
        <f t="shared" si="0"/>
        <v>5º</v>
      </c>
      <c r="B6" s="69" t="str">
        <f t="shared" si="1"/>
        <v>Adriel</v>
      </c>
      <c r="C6" s="86" t="str">
        <f t="shared" si="2"/>
        <v>BRA</v>
      </c>
      <c r="D6" s="99" t="str">
        <f t="shared" si="3"/>
        <v>Somente Pé Esquerdo</v>
      </c>
      <c r="E6" s="9" t="str">
        <f t="shared" si="4"/>
        <v>São José (AP)</v>
      </c>
      <c r="F6" s="166">
        <f t="shared" si="5"/>
        <v>1.7</v>
      </c>
      <c r="G6" s="35">
        <f t="shared" si="6"/>
        <v>46173</v>
      </c>
      <c r="H6" s="7">
        <f t="shared" si="7"/>
        <v>22</v>
      </c>
      <c r="I6" s="327" t="str">
        <f t="shared" si="8"/>
        <v>€1,2m p/m</v>
      </c>
      <c r="J6" s="3">
        <f t="shared" si="9"/>
        <v>0</v>
      </c>
      <c r="K6" s="96">
        <f t="shared" si="10"/>
        <v>4.5533333333333328</v>
      </c>
      <c r="L6" s="143">
        <f t="shared" si="11"/>
        <v>3.7222222222222223</v>
      </c>
      <c r="M6" s="144">
        <f t="shared" si="12"/>
        <v>4</v>
      </c>
      <c r="N6" s="144">
        <f t="shared" si="13"/>
        <v>83.75</v>
      </c>
      <c r="O6" s="184">
        <f t="shared" si="14"/>
        <v>1</v>
      </c>
      <c r="P6" s="2">
        <f t="shared" si="15"/>
        <v>0</v>
      </c>
      <c r="Q6" s="2">
        <f t="shared" si="16"/>
        <v>0</v>
      </c>
      <c r="R6" s="2">
        <f t="shared" si="17"/>
        <v>0</v>
      </c>
      <c r="S6" s="6">
        <f t="shared" si="18"/>
        <v>0</v>
      </c>
      <c r="T6" s="24">
        <f t="shared" si="19"/>
        <v>5000</v>
      </c>
      <c r="U6" s="21">
        <f t="shared" si="20"/>
        <v>0</v>
      </c>
      <c r="V6" s="326">
        <f t="shared" si="21"/>
        <v>0</v>
      </c>
      <c r="W6" s="328">
        <f t="shared" si="22"/>
        <v>0</v>
      </c>
      <c r="X6" s="326">
        <f t="shared" si="23"/>
        <v>0</v>
      </c>
      <c r="Y6" s="328">
        <f t="shared" si="24"/>
        <v>0</v>
      </c>
      <c r="Z6" s="318">
        <f t="shared" si="25"/>
        <v>0</v>
      </c>
      <c r="AA6" s="326">
        <f t="shared" si="26"/>
        <v>0</v>
      </c>
      <c r="AB6" s="314">
        <f t="shared" si="27"/>
        <v>0</v>
      </c>
      <c r="AC6" s="314">
        <f t="shared" si="28"/>
        <v>0</v>
      </c>
      <c r="AD6" s="314">
        <f t="shared" si="29"/>
        <v>0</v>
      </c>
      <c r="AE6" s="21">
        <f t="shared" si="30"/>
        <v>9.9999999999999995E-8</v>
      </c>
      <c r="AF6" s="6">
        <f t="shared" si="31"/>
        <v>0</v>
      </c>
      <c r="AG6" s="6">
        <f t="shared" si="32"/>
        <v>0</v>
      </c>
      <c r="AH6" s="6">
        <f t="shared" si="33"/>
        <v>0</v>
      </c>
      <c r="AI6" s="6">
        <f t="shared" si="34"/>
        <v>0</v>
      </c>
      <c r="AJ6" s="2">
        <f t="shared" si="35"/>
        <v>0</v>
      </c>
      <c r="AK6" s="5">
        <f t="shared" si="36"/>
        <v>0</v>
      </c>
      <c r="AL6" s="5">
        <f t="shared" si="37"/>
        <v>0</v>
      </c>
      <c r="AM6" s="5">
        <f t="shared" si="38"/>
        <v>0</v>
      </c>
      <c r="AN6" s="332">
        <f t="shared" si="39"/>
        <v>9</v>
      </c>
      <c r="AO6" s="333">
        <f t="shared" si="40"/>
        <v>2.4179104477611939</v>
      </c>
      <c r="AP6" s="5">
        <f t="shared" si="41"/>
        <v>0.89</v>
      </c>
      <c r="AQ6" s="5">
        <f t="shared" si="42"/>
        <v>0.89</v>
      </c>
      <c r="AR6" s="5">
        <f t="shared" si="43"/>
        <v>0.23910447761194029</v>
      </c>
      <c r="AS6" s="5">
        <f t="shared" si="44"/>
        <v>0.45</v>
      </c>
      <c r="AT6" s="5">
        <f t="shared" si="45"/>
        <v>0.1208955223880597</v>
      </c>
      <c r="AU6" s="5">
        <f t="shared" si="46"/>
        <v>1.34</v>
      </c>
      <c r="AV6" s="5">
        <f t="shared" si="47"/>
        <v>0.36</v>
      </c>
      <c r="AW6" s="21">
        <f t="shared" si="48"/>
        <v>1</v>
      </c>
      <c r="AX6" s="21">
        <f t="shared" si="49"/>
        <v>0</v>
      </c>
      <c r="AY6" s="6">
        <f t="shared" si="50"/>
        <v>19</v>
      </c>
      <c r="AZ6" s="6">
        <f t="shared" si="51"/>
        <v>7</v>
      </c>
      <c r="BA6" s="21">
        <f t="shared" si="52"/>
        <v>0.36842105263157893</v>
      </c>
      <c r="BB6" s="6">
        <f t="shared" si="53"/>
        <v>171</v>
      </c>
      <c r="BC6" s="6">
        <f t="shared" si="54"/>
        <v>160</v>
      </c>
      <c r="BD6" s="24">
        <f t="shared" si="55"/>
        <v>45.940298507462686</v>
      </c>
      <c r="BE6" s="24">
        <f t="shared" si="56"/>
        <v>42.985074626865668</v>
      </c>
      <c r="BF6" s="24">
        <f t="shared" si="57"/>
        <v>2.9552238805970177</v>
      </c>
      <c r="BG6" s="20">
        <f t="shared" si="58"/>
        <v>0.93567251461988299</v>
      </c>
      <c r="BH6" s="6">
        <f t="shared" si="59"/>
        <v>11</v>
      </c>
      <c r="BI6" s="21">
        <f t="shared" si="60"/>
        <v>6.4327485380117011E-2</v>
      </c>
      <c r="BJ6" s="208">
        <f t="shared" si="61"/>
        <v>10</v>
      </c>
      <c r="BK6" s="196">
        <f t="shared" si="62"/>
        <v>2.6865671641791042</v>
      </c>
      <c r="BL6" s="5">
        <f t="shared" si="63"/>
        <v>25</v>
      </c>
      <c r="BM6" s="21">
        <f t="shared" si="64"/>
        <v>0</v>
      </c>
      <c r="BN6" s="5">
        <f t="shared" si="65"/>
        <v>0.45</v>
      </c>
      <c r="BO6" s="5">
        <f t="shared" si="66"/>
        <v>4.4999999999999998E-2</v>
      </c>
      <c r="BP6" s="24">
        <f t="shared" si="67"/>
        <v>33.5</v>
      </c>
      <c r="BQ6" s="5">
        <f t="shared" si="68"/>
        <v>22.333333333333332</v>
      </c>
      <c r="BR6" s="5">
        <f t="shared" si="69"/>
        <v>-0.89</v>
      </c>
      <c r="BS6" s="5">
        <f t="shared" si="70"/>
        <v>-0.89</v>
      </c>
      <c r="BT6" s="6">
        <f t="shared" si="71"/>
        <v>9</v>
      </c>
      <c r="BU6" s="5">
        <f t="shared" si="72"/>
        <v>2.4179104477611939</v>
      </c>
      <c r="BV6" s="6">
        <f t="shared" si="73"/>
        <v>5</v>
      </c>
      <c r="BW6" s="5">
        <f t="shared" si="74"/>
        <v>1.3432835820895521</v>
      </c>
      <c r="BX6" s="6">
        <f t="shared" si="75"/>
        <v>4</v>
      </c>
      <c r="BY6" s="5">
        <f t="shared" si="76"/>
        <v>1.0746268656716418</v>
      </c>
      <c r="BZ6" s="5">
        <f t="shared" si="77"/>
        <v>1.0746268656716418</v>
      </c>
      <c r="CA6" s="21">
        <f t="shared" si="78"/>
        <v>0.44444444444444442</v>
      </c>
      <c r="CB6" s="5">
        <f t="shared" si="79"/>
        <v>50</v>
      </c>
      <c r="CC6" s="5">
        <f t="shared" si="80"/>
        <v>50</v>
      </c>
      <c r="CD6" s="21">
        <f t="shared" si="81"/>
        <v>0</v>
      </c>
      <c r="CE6" s="326">
        <f t="shared" si="82"/>
        <v>0</v>
      </c>
      <c r="CF6" s="326">
        <f t="shared" si="83"/>
        <v>0</v>
      </c>
      <c r="CG6" s="326">
        <f t="shared" si="84"/>
        <v>0</v>
      </c>
      <c r="CH6" s="21">
        <f t="shared" si="85"/>
        <v>0</v>
      </c>
      <c r="CI6" s="6">
        <f t="shared" si="86"/>
        <v>11.3</v>
      </c>
      <c r="CJ6" s="5">
        <f t="shared" si="87"/>
        <v>3.035820895522388</v>
      </c>
      <c r="CK6" s="178">
        <f t="shared" si="88"/>
        <v>47</v>
      </c>
      <c r="CL6" s="5">
        <f t="shared" si="89"/>
        <v>12.626865671641792</v>
      </c>
      <c r="CM6" s="6">
        <f t="shared" si="90"/>
        <v>30</v>
      </c>
      <c r="CN6" s="5">
        <f t="shared" si="91"/>
        <v>8.0597014925373127</v>
      </c>
      <c r="CO6" s="21">
        <f t="shared" si="92"/>
        <v>0.63829787234042556</v>
      </c>
      <c r="CP6" s="6">
        <f t="shared" si="93"/>
        <v>22.45</v>
      </c>
      <c r="CQ6" s="5">
        <f t="shared" si="94"/>
        <v>6.031343283582089</v>
      </c>
      <c r="CR6" s="6">
        <f t="shared" si="95"/>
        <v>22.45</v>
      </c>
      <c r="CS6" s="5">
        <f t="shared" si="96"/>
        <v>6.031343283582089</v>
      </c>
      <c r="CT6" s="5">
        <f t="shared" si="97"/>
        <v>64.74626865671641</v>
      </c>
      <c r="CU6" s="5">
        <f t="shared" si="98"/>
        <v>50.507462686567166</v>
      </c>
      <c r="CV6" s="6">
        <f t="shared" si="99"/>
        <v>27</v>
      </c>
      <c r="CW6" s="5">
        <f t="shared" si="100"/>
        <v>7.2537313432835822</v>
      </c>
      <c r="CX6" s="6">
        <f t="shared" si="101"/>
        <v>65</v>
      </c>
      <c r="CY6" s="5">
        <f t="shared" si="102"/>
        <v>17.46268656716418</v>
      </c>
      <c r="CZ6" s="6">
        <f t="shared" si="103"/>
        <v>20</v>
      </c>
      <c r="DA6" s="5">
        <f t="shared" si="104"/>
        <v>5.3731343283582085</v>
      </c>
      <c r="DB6" s="6">
        <f t="shared" si="105"/>
        <v>28</v>
      </c>
      <c r="DC6" s="5">
        <f t="shared" si="106"/>
        <v>7.522388059701492</v>
      </c>
      <c r="DD6" s="5">
        <f t="shared" si="107"/>
        <v>11.3</v>
      </c>
      <c r="DE6" s="5">
        <f t="shared" si="108"/>
        <v>45.9</v>
      </c>
      <c r="DF6" s="5">
        <f t="shared" si="109"/>
        <v>12.331343283582088</v>
      </c>
      <c r="DG6" s="314">
        <f t="shared" si="110"/>
        <v>49.87777777777778</v>
      </c>
      <c r="DH6" s="315">
        <f t="shared" si="111"/>
        <v>13.4</v>
      </c>
      <c r="DI6" s="62">
        <f t="shared" si="112"/>
        <v>6.9</v>
      </c>
      <c r="DJ6" s="298" t="s">
        <v>19</v>
      </c>
      <c r="DK6" s="294" t="s">
        <v>13</v>
      </c>
      <c r="DL6" s="294" t="s">
        <v>783</v>
      </c>
      <c r="DM6" s="294">
        <v>22</v>
      </c>
      <c r="DN6" s="294" t="s">
        <v>889</v>
      </c>
      <c r="DO6" s="294" t="s">
        <v>867</v>
      </c>
      <c r="DP6" s="294" t="s">
        <v>790</v>
      </c>
      <c r="DQ6" s="392">
        <v>0</v>
      </c>
      <c r="DR6" s="294" t="s">
        <v>855</v>
      </c>
      <c r="DS6" s="295">
        <v>46173</v>
      </c>
      <c r="DT6" s="294">
        <v>335</v>
      </c>
      <c r="DU6" s="294">
        <v>4</v>
      </c>
      <c r="DV6" s="294">
        <v>0</v>
      </c>
      <c r="DW6" s="294">
        <v>0</v>
      </c>
      <c r="DX6" s="294">
        <v>0</v>
      </c>
      <c r="DY6" s="294">
        <v>1</v>
      </c>
      <c r="DZ6" s="294">
        <v>11.3</v>
      </c>
      <c r="EA6" s="294" t="s">
        <v>965</v>
      </c>
      <c r="EB6" s="294" t="s">
        <v>875</v>
      </c>
      <c r="EC6" s="294">
        <v>7</v>
      </c>
      <c r="ED6" s="294">
        <v>4</v>
      </c>
      <c r="EE6" s="294">
        <v>171</v>
      </c>
      <c r="EF6" s="294">
        <v>160</v>
      </c>
      <c r="EG6" s="294">
        <v>10</v>
      </c>
      <c r="EH6" s="294">
        <v>17</v>
      </c>
      <c r="EI6" s="294">
        <v>9</v>
      </c>
      <c r="EJ6" s="294">
        <v>9</v>
      </c>
      <c r="EK6" s="294">
        <v>4</v>
      </c>
      <c r="EL6" s="294">
        <v>31</v>
      </c>
      <c r="EM6" s="294">
        <v>10</v>
      </c>
      <c r="EN6" s="294">
        <v>19</v>
      </c>
      <c r="EO6" s="294">
        <v>7</v>
      </c>
      <c r="EP6" s="294">
        <v>19</v>
      </c>
      <c r="EQ6" s="294">
        <v>7</v>
      </c>
      <c r="ER6" s="294">
        <v>0</v>
      </c>
      <c r="ES6" s="294">
        <v>0.5</v>
      </c>
      <c r="ET6" s="294">
        <v>0</v>
      </c>
      <c r="EU6" s="294">
        <v>0</v>
      </c>
      <c r="EV6" s="294">
        <v>0</v>
      </c>
      <c r="EW6" s="294">
        <v>13.4</v>
      </c>
      <c r="EX6" s="294" t="s">
        <v>981</v>
      </c>
      <c r="EY6" s="299">
        <v>6.9</v>
      </c>
    </row>
    <row r="7" spans="1:155" ht="24.95" customHeight="1" thickBot="1" x14ac:dyDescent="0.3">
      <c r="A7" s="29" t="str">
        <f t="shared" si="0"/>
        <v>6º</v>
      </c>
      <c r="B7" s="69" t="str">
        <f t="shared" si="1"/>
        <v>Rafael Mineiro</v>
      </c>
      <c r="C7" s="86" t="str">
        <f t="shared" si="2"/>
        <v>BRA</v>
      </c>
      <c r="D7" s="99" t="str">
        <f t="shared" si="3"/>
        <v>Pé Direito</v>
      </c>
      <c r="E7" s="9" t="str">
        <f t="shared" si="4"/>
        <v>Galícia</v>
      </c>
      <c r="F7" s="166">
        <f t="shared" si="5"/>
        <v>1.76</v>
      </c>
      <c r="G7" s="35">
        <f t="shared" si="6"/>
        <v>46091</v>
      </c>
      <c r="H7" s="7">
        <f t="shared" si="7"/>
        <v>34</v>
      </c>
      <c r="I7" s="327" t="str">
        <f t="shared" si="8"/>
        <v>€1,2m p/m</v>
      </c>
      <c r="J7" s="3">
        <f t="shared" si="9"/>
        <v>0</v>
      </c>
      <c r="K7" s="96">
        <f t="shared" si="10"/>
        <v>4.5533333333333328</v>
      </c>
      <c r="L7" s="143">
        <f t="shared" si="11"/>
        <v>3.8222222222222224</v>
      </c>
      <c r="M7" s="144">
        <f t="shared" si="12"/>
        <v>4</v>
      </c>
      <c r="N7" s="144">
        <f t="shared" si="13"/>
        <v>86</v>
      </c>
      <c r="O7" s="184">
        <f t="shared" si="14"/>
        <v>1</v>
      </c>
      <c r="P7" s="2">
        <f t="shared" si="15"/>
        <v>0</v>
      </c>
      <c r="Q7" s="2">
        <f t="shared" si="16"/>
        <v>0</v>
      </c>
      <c r="R7" s="2">
        <f t="shared" si="17"/>
        <v>0</v>
      </c>
      <c r="S7" s="6">
        <f t="shared" si="18"/>
        <v>0</v>
      </c>
      <c r="T7" s="24">
        <f t="shared" si="19"/>
        <v>5000</v>
      </c>
      <c r="U7" s="21">
        <f t="shared" si="20"/>
        <v>0</v>
      </c>
      <c r="V7" s="326">
        <f t="shared" si="21"/>
        <v>0</v>
      </c>
      <c r="W7" s="328">
        <f t="shared" si="22"/>
        <v>0</v>
      </c>
      <c r="X7" s="326">
        <f t="shared" si="23"/>
        <v>0</v>
      </c>
      <c r="Y7" s="328">
        <f t="shared" si="24"/>
        <v>0</v>
      </c>
      <c r="Z7" s="318">
        <f t="shared" si="25"/>
        <v>0</v>
      </c>
      <c r="AA7" s="326">
        <f t="shared" si="26"/>
        <v>0</v>
      </c>
      <c r="AB7" s="314">
        <f t="shared" si="27"/>
        <v>0</v>
      </c>
      <c r="AC7" s="314">
        <f t="shared" si="28"/>
        <v>0</v>
      </c>
      <c r="AD7" s="314">
        <f t="shared" si="29"/>
        <v>0</v>
      </c>
      <c r="AE7" s="21">
        <f t="shared" si="30"/>
        <v>9.9999999999999995E-8</v>
      </c>
      <c r="AF7" s="6">
        <f t="shared" si="31"/>
        <v>0</v>
      </c>
      <c r="AG7" s="6">
        <f t="shared" si="32"/>
        <v>0</v>
      </c>
      <c r="AH7" s="6">
        <f t="shared" si="33"/>
        <v>0</v>
      </c>
      <c r="AI7" s="6">
        <f t="shared" si="34"/>
        <v>0</v>
      </c>
      <c r="AJ7" s="2">
        <f t="shared" si="35"/>
        <v>0</v>
      </c>
      <c r="AK7" s="5">
        <f t="shared" si="36"/>
        <v>0</v>
      </c>
      <c r="AL7" s="5">
        <f t="shared" si="37"/>
        <v>0</v>
      </c>
      <c r="AM7" s="5">
        <f t="shared" si="38"/>
        <v>0</v>
      </c>
      <c r="AN7" s="332">
        <f t="shared" si="39"/>
        <v>12</v>
      </c>
      <c r="AO7" s="333">
        <f t="shared" si="40"/>
        <v>3.13953488372093</v>
      </c>
      <c r="AP7" s="5">
        <f t="shared" si="41"/>
        <v>0.52</v>
      </c>
      <c r="AQ7" s="5">
        <f t="shared" si="42"/>
        <v>0.52</v>
      </c>
      <c r="AR7" s="5">
        <f t="shared" si="43"/>
        <v>0.13604651162790699</v>
      </c>
      <c r="AS7" s="5">
        <f t="shared" si="44"/>
        <v>0.24</v>
      </c>
      <c r="AT7" s="5">
        <f t="shared" si="45"/>
        <v>6.2790697674418597E-2</v>
      </c>
      <c r="AU7" s="5">
        <f t="shared" si="46"/>
        <v>0.76</v>
      </c>
      <c r="AV7" s="5">
        <f t="shared" si="47"/>
        <v>0.19883720930232557</v>
      </c>
      <c r="AW7" s="21">
        <f t="shared" si="48"/>
        <v>1</v>
      </c>
      <c r="AX7" s="21">
        <f t="shared" si="49"/>
        <v>0</v>
      </c>
      <c r="AY7" s="6">
        <f t="shared" si="50"/>
        <v>10</v>
      </c>
      <c r="AZ7" s="6">
        <f t="shared" si="51"/>
        <v>4</v>
      </c>
      <c r="BA7" s="21">
        <f t="shared" si="52"/>
        <v>0.4</v>
      </c>
      <c r="BB7" s="6">
        <f t="shared" si="53"/>
        <v>162</v>
      </c>
      <c r="BC7" s="6">
        <f t="shared" si="54"/>
        <v>142</v>
      </c>
      <c r="BD7" s="24">
        <f t="shared" si="55"/>
        <v>42.383720930232556</v>
      </c>
      <c r="BE7" s="24">
        <f t="shared" si="56"/>
        <v>37.151162790697676</v>
      </c>
      <c r="BF7" s="24">
        <f t="shared" si="57"/>
        <v>5.2325581395348806</v>
      </c>
      <c r="BG7" s="20">
        <f t="shared" si="58"/>
        <v>0.87654320987654322</v>
      </c>
      <c r="BH7" s="6">
        <f t="shared" si="59"/>
        <v>20</v>
      </c>
      <c r="BI7" s="21">
        <f t="shared" si="60"/>
        <v>0.12345679012345678</v>
      </c>
      <c r="BJ7" s="208">
        <f t="shared" si="61"/>
        <v>11</v>
      </c>
      <c r="BK7" s="196">
        <f t="shared" si="62"/>
        <v>2.8779069767441858</v>
      </c>
      <c r="BL7" s="5">
        <f t="shared" si="63"/>
        <v>25</v>
      </c>
      <c r="BM7" s="21">
        <f t="shared" si="64"/>
        <v>0</v>
      </c>
      <c r="BN7" s="5">
        <f t="shared" si="65"/>
        <v>0.24</v>
      </c>
      <c r="BO7" s="5">
        <f t="shared" si="66"/>
        <v>2.1818181818181816E-2</v>
      </c>
      <c r="BP7" s="24">
        <f t="shared" si="67"/>
        <v>31.272727272727273</v>
      </c>
      <c r="BQ7" s="5">
        <f t="shared" si="68"/>
        <v>26.46153846153846</v>
      </c>
      <c r="BR7" s="5">
        <f t="shared" si="69"/>
        <v>-0.52</v>
      </c>
      <c r="BS7" s="5">
        <f t="shared" si="70"/>
        <v>-0.52</v>
      </c>
      <c r="BT7" s="6">
        <f t="shared" si="71"/>
        <v>7</v>
      </c>
      <c r="BU7" s="5">
        <f t="shared" si="72"/>
        <v>1.8313953488372092</v>
      </c>
      <c r="BV7" s="6">
        <f t="shared" si="73"/>
        <v>5</v>
      </c>
      <c r="BW7" s="5">
        <f t="shared" si="74"/>
        <v>1.3081395348837208</v>
      </c>
      <c r="BX7" s="6">
        <f t="shared" si="75"/>
        <v>2</v>
      </c>
      <c r="BY7" s="5">
        <f t="shared" si="76"/>
        <v>0.5232558139534883</v>
      </c>
      <c r="BZ7" s="5">
        <f t="shared" si="77"/>
        <v>0.5232558139534883</v>
      </c>
      <c r="CA7" s="21">
        <f t="shared" si="78"/>
        <v>0.2857142857142857</v>
      </c>
      <c r="CB7" s="5">
        <f t="shared" si="79"/>
        <v>50</v>
      </c>
      <c r="CC7" s="5">
        <f t="shared" si="80"/>
        <v>50</v>
      </c>
      <c r="CD7" s="21">
        <f t="shared" si="81"/>
        <v>0</v>
      </c>
      <c r="CE7" s="326">
        <f t="shared" si="82"/>
        <v>0</v>
      </c>
      <c r="CF7" s="326">
        <f t="shared" si="83"/>
        <v>0</v>
      </c>
      <c r="CG7" s="326">
        <f t="shared" si="84"/>
        <v>0</v>
      </c>
      <c r="CH7" s="21">
        <f t="shared" si="85"/>
        <v>0</v>
      </c>
      <c r="CI7" s="6">
        <f t="shared" si="86"/>
        <v>19.899999999999999</v>
      </c>
      <c r="CJ7" s="5">
        <f t="shared" si="87"/>
        <v>5.2063953488372086</v>
      </c>
      <c r="CK7" s="178">
        <f t="shared" si="88"/>
        <v>40</v>
      </c>
      <c r="CL7" s="5">
        <f t="shared" si="89"/>
        <v>10.465116279069766</v>
      </c>
      <c r="CM7" s="6">
        <f t="shared" si="90"/>
        <v>29</v>
      </c>
      <c r="CN7" s="5">
        <f t="shared" si="91"/>
        <v>7.5872093023255811</v>
      </c>
      <c r="CO7" s="21">
        <f t="shared" si="92"/>
        <v>0.72499999999999998</v>
      </c>
      <c r="CP7" s="6">
        <f t="shared" si="93"/>
        <v>17.240000000000002</v>
      </c>
      <c r="CQ7" s="5">
        <f t="shared" si="94"/>
        <v>4.5104651162790699</v>
      </c>
      <c r="CR7" s="6">
        <f t="shared" si="95"/>
        <v>17.240000000000002</v>
      </c>
      <c r="CS7" s="5">
        <f t="shared" si="96"/>
        <v>4.5104651162790699</v>
      </c>
      <c r="CT7" s="5">
        <f t="shared" si="97"/>
        <v>57.296511627906973</v>
      </c>
      <c r="CU7" s="5">
        <f t="shared" si="98"/>
        <v>43.168604651162788</v>
      </c>
      <c r="CV7" s="6">
        <f t="shared" si="99"/>
        <v>23</v>
      </c>
      <c r="CW7" s="5">
        <f t="shared" si="100"/>
        <v>6.0174418604651159</v>
      </c>
      <c r="CX7" s="6">
        <f t="shared" si="101"/>
        <v>52</v>
      </c>
      <c r="CY7" s="5">
        <f t="shared" si="102"/>
        <v>13.604651162790697</v>
      </c>
      <c r="CZ7" s="6">
        <f t="shared" si="103"/>
        <v>18</v>
      </c>
      <c r="DA7" s="5">
        <f t="shared" si="104"/>
        <v>4.7093023255813948</v>
      </c>
      <c r="DB7" s="6">
        <f t="shared" si="105"/>
        <v>31</v>
      </c>
      <c r="DC7" s="5">
        <f t="shared" si="106"/>
        <v>8.1104651162790695</v>
      </c>
      <c r="DD7" s="5">
        <f t="shared" si="107"/>
        <v>19.899999999999999</v>
      </c>
      <c r="DE7" s="5">
        <f t="shared" si="108"/>
        <v>44.8</v>
      </c>
      <c r="DF7" s="5">
        <f t="shared" si="109"/>
        <v>11.720930232558139</v>
      </c>
      <c r="DG7" s="314">
        <f t="shared" si="110"/>
        <v>47.013333333333335</v>
      </c>
      <c r="DH7" s="315">
        <f t="shared" si="111"/>
        <v>12.3</v>
      </c>
      <c r="DI7" s="62">
        <f t="shared" si="112"/>
        <v>6.83</v>
      </c>
      <c r="DJ7" s="296"/>
      <c r="DK7" s="292" t="s">
        <v>13</v>
      </c>
      <c r="DL7" s="292" t="s">
        <v>977</v>
      </c>
      <c r="DM7" s="292">
        <v>34</v>
      </c>
      <c r="DN7" s="292" t="s">
        <v>978</v>
      </c>
      <c r="DO7" s="292" t="s">
        <v>561</v>
      </c>
      <c r="DP7" s="292" t="s">
        <v>601</v>
      </c>
      <c r="DQ7" s="393">
        <v>0</v>
      </c>
      <c r="DR7" s="292" t="s">
        <v>855</v>
      </c>
      <c r="DS7" s="293">
        <v>46091</v>
      </c>
      <c r="DT7" s="292">
        <v>344</v>
      </c>
      <c r="DU7" s="292">
        <v>4</v>
      </c>
      <c r="DV7" s="292">
        <v>0</v>
      </c>
      <c r="DW7" s="292">
        <v>0</v>
      </c>
      <c r="DX7" s="292">
        <v>0</v>
      </c>
      <c r="DY7" s="292">
        <v>0</v>
      </c>
      <c r="DZ7" s="292">
        <v>19.899999999999999</v>
      </c>
      <c r="EA7" s="292" t="s">
        <v>956</v>
      </c>
      <c r="EB7" s="292" t="s">
        <v>912</v>
      </c>
      <c r="EC7" s="292">
        <v>3</v>
      </c>
      <c r="ED7" s="292">
        <v>5</v>
      </c>
      <c r="EE7" s="292">
        <v>162</v>
      </c>
      <c r="EF7" s="292">
        <v>142</v>
      </c>
      <c r="EG7" s="292">
        <v>11</v>
      </c>
      <c r="EH7" s="292">
        <v>12</v>
      </c>
      <c r="EI7" s="292">
        <v>12</v>
      </c>
      <c r="EJ7" s="292">
        <v>7</v>
      </c>
      <c r="EK7" s="292">
        <v>2</v>
      </c>
      <c r="EL7" s="292">
        <v>23</v>
      </c>
      <c r="EM7" s="292">
        <v>7</v>
      </c>
      <c r="EN7" s="292">
        <v>10</v>
      </c>
      <c r="EO7" s="292">
        <v>4</v>
      </c>
      <c r="EP7" s="292">
        <v>10</v>
      </c>
      <c r="EQ7" s="292">
        <v>4</v>
      </c>
      <c r="ER7" s="292">
        <v>0</v>
      </c>
      <c r="ES7" s="292">
        <v>0.8</v>
      </c>
      <c r="ET7" s="292">
        <v>0</v>
      </c>
      <c r="EU7" s="292">
        <v>0</v>
      </c>
      <c r="EV7" s="292">
        <v>0</v>
      </c>
      <c r="EW7" s="292">
        <v>12.3</v>
      </c>
      <c r="EX7" s="292" t="s">
        <v>910</v>
      </c>
      <c r="EY7" s="297">
        <v>6.83</v>
      </c>
    </row>
    <row r="8" spans="1:155" ht="24.95" customHeight="1" thickBot="1" x14ac:dyDescent="0.3">
      <c r="A8" s="29" t="str">
        <f t="shared" si="0"/>
        <v>7º</v>
      </c>
      <c r="B8" s="69" t="str">
        <f t="shared" si="1"/>
        <v>Raphael Augusto</v>
      </c>
      <c r="C8" s="86" t="str">
        <f t="shared" si="2"/>
        <v>BRA</v>
      </c>
      <c r="D8" s="99" t="str">
        <f t="shared" si="3"/>
        <v>Somente Pé Direito</v>
      </c>
      <c r="E8" s="9" t="str">
        <f t="shared" si="4"/>
        <v>Brasília</v>
      </c>
      <c r="F8" s="166">
        <f t="shared" si="5"/>
        <v>1.83</v>
      </c>
      <c r="G8" s="35">
        <f t="shared" si="6"/>
        <v>46173</v>
      </c>
      <c r="H8" s="7">
        <f t="shared" si="7"/>
        <v>31</v>
      </c>
      <c r="I8" s="327" t="str">
        <f t="shared" si="8"/>
        <v>€1,2m p/m</v>
      </c>
      <c r="J8" s="3">
        <f t="shared" si="9"/>
        <v>0</v>
      </c>
      <c r="K8" s="96">
        <f t="shared" si="10"/>
        <v>4.5533333333333328</v>
      </c>
      <c r="L8" s="143">
        <f t="shared" si="11"/>
        <v>4.822222222222222</v>
      </c>
      <c r="M8" s="144">
        <f t="shared" si="12"/>
        <v>5</v>
      </c>
      <c r="N8" s="144">
        <f t="shared" si="13"/>
        <v>86.8</v>
      </c>
      <c r="O8" s="184">
        <f t="shared" si="14"/>
        <v>1</v>
      </c>
      <c r="P8" s="2">
        <f t="shared" si="15"/>
        <v>1</v>
      </c>
      <c r="Q8" s="2">
        <f t="shared" si="16"/>
        <v>0</v>
      </c>
      <c r="R8" s="2">
        <f t="shared" si="17"/>
        <v>1</v>
      </c>
      <c r="S8" s="6">
        <f t="shared" si="18"/>
        <v>0</v>
      </c>
      <c r="T8" s="24">
        <f t="shared" si="19"/>
        <v>5000</v>
      </c>
      <c r="U8" s="21">
        <f t="shared" si="20"/>
        <v>0</v>
      </c>
      <c r="V8" s="326">
        <f t="shared" si="21"/>
        <v>0</v>
      </c>
      <c r="W8" s="328">
        <f t="shared" si="22"/>
        <v>0</v>
      </c>
      <c r="X8" s="326">
        <f t="shared" si="23"/>
        <v>0</v>
      </c>
      <c r="Y8" s="328">
        <f t="shared" si="24"/>
        <v>0</v>
      </c>
      <c r="Z8" s="318">
        <f t="shared" si="25"/>
        <v>0</v>
      </c>
      <c r="AA8" s="326">
        <f t="shared" si="26"/>
        <v>0</v>
      </c>
      <c r="AB8" s="314">
        <f t="shared" si="27"/>
        <v>0</v>
      </c>
      <c r="AC8" s="314">
        <f t="shared" si="28"/>
        <v>0</v>
      </c>
      <c r="AD8" s="314">
        <f t="shared" si="29"/>
        <v>0</v>
      </c>
      <c r="AE8" s="21">
        <f t="shared" si="30"/>
        <v>9.9999999999999995E-8</v>
      </c>
      <c r="AF8" s="6">
        <f t="shared" si="31"/>
        <v>1</v>
      </c>
      <c r="AG8" s="6">
        <f t="shared" si="32"/>
        <v>0</v>
      </c>
      <c r="AH8" s="6">
        <f t="shared" si="33"/>
        <v>1</v>
      </c>
      <c r="AI8" s="6">
        <f t="shared" si="34"/>
        <v>1</v>
      </c>
      <c r="AJ8" s="2">
        <f t="shared" si="35"/>
        <v>0</v>
      </c>
      <c r="AK8" s="5">
        <f t="shared" si="36"/>
        <v>0.20737327188940094</v>
      </c>
      <c r="AL8" s="5">
        <f t="shared" si="37"/>
        <v>0</v>
      </c>
      <c r="AM8" s="5">
        <f t="shared" si="38"/>
        <v>0.20737327188940094</v>
      </c>
      <c r="AN8" s="332">
        <f t="shared" si="39"/>
        <v>4</v>
      </c>
      <c r="AO8" s="333">
        <f t="shared" si="40"/>
        <v>0.82949308755760376</v>
      </c>
      <c r="AP8" s="5">
        <f t="shared" si="41"/>
        <v>0.23</v>
      </c>
      <c r="AQ8" s="5">
        <f t="shared" si="42"/>
        <v>0.23</v>
      </c>
      <c r="AR8" s="5">
        <f t="shared" si="43"/>
        <v>4.7695852534562218E-2</v>
      </c>
      <c r="AS8" s="5">
        <f t="shared" si="44"/>
        <v>0.19</v>
      </c>
      <c r="AT8" s="5">
        <f t="shared" si="45"/>
        <v>3.9400921658986177E-2</v>
      </c>
      <c r="AU8" s="5">
        <f t="shared" si="46"/>
        <v>0.42000000000000004</v>
      </c>
      <c r="AV8" s="5">
        <f t="shared" si="47"/>
        <v>8.7096774193548401E-2</v>
      </c>
      <c r="AW8" s="21">
        <f t="shared" si="48"/>
        <v>1</v>
      </c>
      <c r="AX8" s="21">
        <f t="shared" si="49"/>
        <v>0.81300813008130079</v>
      </c>
      <c r="AY8" s="6">
        <f t="shared" si="50"/>
        <v>3</v>
      </c>
      <c r="AZ8" s="6">
        <f t="shared" si="51"/>
        <v>1</v>
      </c>
      <c r="BA8" s="21">
        <f t="shared" si="52"/>
        <v>0.33333333333333331</v>
      </c>
      <c r="BB8" s="6">
        <f t="shared" si="53"/>
        <v>197</v>
      </c>
      <c r="BC8" s="6">
        <f t="shared" si="54"/>
        <v>190</v>
      </c>
      <c r="BD8" s="24">
        <f t="shared" si="55"/>
        <v>40.852534562211986</v>
      </c>
      <c r="BE8" s="24">
        <f t="shared" si="56"/>
        <v>39.400921658986178</v>
      </c>
      <c r="BF8" s="24">
        <f t="shared" si="57"/>
        <v>1.4516129032258078</v>
      </c>
      <c r="BG8" s="20">
        <f t="shared" si="58"/>
        <v>0.96446700507614214</v>
      </c>
      <c r="BH8" s="6">
        <f t="shared" si="59"/>
        <v>7</v>
      </c>
      <c r="BI8" s="21">
        <f t="shared" si="60"/>
        <v>3.5532994923857864E-2</v>
      </c>
      <c r="BJ8" s="208">
        <f t="shared" si="61"/>
        <v>15</v>
      </c>
      <c r="BK8" s="196">
        <f t="shared" si="62"/>
        <v>3.1105990783410138</v>
      </c>
      <c r="BL8" s="5">
        <f t="shared" si="63"/>
        <v>25</v>
      </c>
      <c r="BM8" s="21">
        <f t="shared" si="64"/>
        <v>0</v>
      </c>
      <c r="BN8" s="5">
        <f t="shared" si="65"/>
        <v>0.19</v>
      </c>
      <c r="BO8" s="5">
        <f t="shared" si="66"/>
        <v>1.2666666666666666E-2</v>
      </c>
      <c r="BP8" s="24">
        <f t="shared" si="67"/>
        <v>28.933333333333334</v>
      </c>
      <c r="BQ8" s="5">
        <f t="shared" si="68"/>
        <v>25.529411764705884</v>
      </c>
      <c r="BR8" s="5">
        <f t="shared" si="69"/>
        <v>0.77</v>
      </c>
      <c r="BS8" s="5">
        <f t="shared" si="70"/>
        <v>0.77</v>
      </c>
      <c r="BT8" s="6">
        <f t="shared" si="71"/>
        <v>7</v>
      </c>
      <c r="BU8" s="5">
        <f t="shared" si="72"/>
        <v>1.4516129032258065</v>
      </c>
      <c r="BV8" s="6">
        <f t="shared" si="73"/>
        <v>5</v>
      </c>
      <c r="BW8" s="5">
        <f t="shared" si="74"/>
        <v>1.0368663594470047</v>
      </c>
      <c r="BX8" s="6">
        <f t="shared" si="75"/>
        <v>2</v>
      </c>
      <c r="BY8" s="5">
        <f t="shared" si="76"/>
        <v>0.41474654377880188</v>
      </c>
      <c r="BZ8" s="5">
        <f t="shared" si="77"/>
        <v>0.41474654377880188</v>
      </c>
      <c r="CA8" s="21">
        <f t="shared" si="78"/>
        <v>0.2857142857142857</v>
      </c>
      <c r="CB8" s="5">
        <f t="shared" si="79"/>
        <v>7</v>
      </c>
      <c r="CC8" s="5">
        <f t="shared" si="80"/>
        <v>2</v>
      </c>
      <c r="CD8" s="21">
        <f t="shared" si="81"/>
        <v>0.14285714285714285</v>
      </c>
      <c r="CE8" s="326">
        <f t="shared" si="82"/>
        <v>1</v>
      </c>
      <c r="CF8" s="326">
        <f t="shared" si="83"/>
        <v>0</v>
      </c>
      <c r="CG8" s="326">
        <f t="shared" si="84"/>
        <v>0</v>
      </c>
      <c r="CH8" s="21">
        <f t="shared" si="85"/>
        <v>0</v>
      </c>
      <c r="CI8" s="6">
        <f t="shared" si="86"/>
        <v>16.399999999999999</v>
      </c>
      <c r="CJ8" s="5">
        <f t="shared" si="87"/>
        <v>3.4009216589861748</v>
      </c>
      <c r="CK8" s="178">
        <f t="shared" si="88"/>
        <v>29</v>
      </c>
      <c r="CL8" s="5">
        <f t="shared" si="89"/>
        <v>6.0138248847926272</v>
      </c>
      <c r="CM8" s="6">
        <f t="shared" si="90"/>
        <v>22</v>
      </c>
      <c r="CN8" s="5">
        <f t="shared" si="91"/>
        <v>4.5622119815668203</v>
      </c>
      <c r="CO8" s="21">
        <f t="shared" si="92"/>
        <v>0.75862068965517238</v>
      </c>
      <c r="CP8" s="6">
        <f t="shared" si="93"/>
        <v>18.690000000000001</v>
      </c>
      <c r="CQ8" s="5">
        <f t="shared" si="94"/>
        <v>3.8758064516129038</v>
      </c>
      <c r="CR8" s="6">
        <f t="shared" si="95"/>
        <v>18.939999999999998</v>
      </c>
      <c r="CS8" s="5">
        <f t="shared" si="96"/>
        <v>3.927649769585253</v>
      </c>
      <c r="CT8" s="5">
        <f t="shared" si="97"/>
        <v>51.843317972350235</v>
      </c>
      <c r="CU8" s="5">
        <f t="shared" si="98"/>
        <v>46.65898617511521</v>
      </c>
      <c r="CV8" s="6">
        <f t="shared" si="99"/>
        <v>35</v>
      </c>
      <c r="CW8" s="5">
        <f t="shared" si="100"/>
        <v>7.2580645161290329</v>
      </c>
      <c r="CX8" s="6">
        <f t="shared" si="101"/>
        <v>49</v>
      </c>
      <c r="CY8" s="5">
        <f t="shared" si="102"/>
        <v>10.161290322580646</v>
      </c>
      <c r="CZ8" s="6">
        <f t="shared" si="103"/>
        <v>22</v>
      </c>
      <c r="DA8" s="5">
        <f t="shared" si="104"/>
        <v>4.5622119815668203</v>
      </c>
      <c r="DB8" s="6">
        <f t="shared" si="105"/>
        <v>14</v>
      </c>
      <c r="DC8" s="5">
        <f t="shared" si="106"/>
        <v>2.903225806451613</v>
      </c>
      <c r="DD8" s="5">
        <f t="shared" si="107"/>
        <v>16.399999999999999</v>
      </c>
      <c r="DE8" s="5">
        <f t="shared" si="108"/>
        <v>57.5</v>
      </c>
      <c r="DF8" s="5">
        <f t="shared" si="109"/>
        <v>11.923963133640553</v>
      </c>
      <c r="DG8" s="314">
        <f t="shared" si="110"/>
        <v>44.846666666666671</v>
      </c>
      <c r="DH8" s="315">
        <f t="shared" si="111"/>
        <v>9.3000000000000007</v>
      </c>
      <c r="DI8" s="62">
        <f t="shared" si="112"/>
        <v>6.94</v>
      </c>
      <c r="DJ8" s="296"/>
      <c r="DK8" s="292" t="s">
        <v>13</v>
      </c>
      <c r="DL8" s="292" t="s">
        <v>968</v>
      </c>
      <c r="DM8" s="292">
        <v>31</v>
      </c>
      <c r="DN8" s="292" t="s">
        <v>874</v>
      </c>
      <c r="DO8" s="292" t="s">
        <v>792</v>
      </c>
      <c r="DP8" s="292" t="s">
        <v>602</v>
      </c>
      <c r="DQ8" s="393">
        <v>0</v>
      </c>
      <c r="DR8" s="292" t="s">
        <v>855</v>
      </c>
      <c r="DS8" s="293">
        <v>46173</v>
      </c>
      <c r="DT8" s="292">
        <v>434</v>
      </c>
      <c r="DU8" s="292">
        <v>5</v>
      </c>
      <c r="DV8" s="292">
        <v>0</v>
      </c>
      <c r="DW8" s="292">
        <v>1</v>
      </c>
      <c r="DX8" s="292">
        <v>0</v>
      </c>
      <c r="DY8" s="292">
        <v>0</v>
      </c>
      <c r="DZ8" s="292">
        <v>16.399999999999999</v>
      </c>
      <c r="EA8" s="292" t="s">
        <v>861</v>
      </c>
      <c r="EB8" s="292" t="s">
        <v>856</v>
      </c>
      <c r="EC8" s="292">
        <v>1</v>
      </c>
      <c r="ED8" s="292">
        <v>5</v>
      </c>
      <c r="EE8" s="292">
        <v>197</v>
      </c>
      <c r="EF8" s="292">
        <v>190</v>
      </c>
      <c r="EG8" s="292">
        <v>15</v>
      </c>
      <c r="EH8" s="292">
        <v>20</v>
      </c>
      <c r="EI8" s="292">
        <v>4</v>
      </c>
      <c r="EJ8" s="292">
        <v>7</v>
      </c>
      <c r="EK8" s="292">
        <v>2</v>
      </c>
      <c r="EL8" s="292">
        <v>11</v>
      </c>
      <c r="EM8" s="292">
        <v>5</v>
      </c>
      <c r="EN8" s="292">
        <v>3</v>
      </c>
      <c r="EO8" s="292">
        <v>1</v>
      </c>
      <c r="EP8" s="292">
        <v>3</v>
      </c>
      <c r="EQ8" s="292">
        <v>1</v>
      </c>
      <c r="ER8" s="292">
        <v>0</v>
      </c>
      <c r="ES8" s="292">
        <v>0.8</v>
      </c>
      <c r="ET8" s="292">
        <v>0</v>
      </c>
      <c r="EU8" s="292">
        <v>0</v>
      </c>
      <c r="EV8" s="292">
        <v>0</v>
      </c>
      <c r="EW8" s="292">
        <v>9.3000000000000007</v>
      </c>
      <c r="EX8" s="292" t="s">
        <v>969</v>
      </c>
      <c r="EY8" s="297">
        <v>6.94</v>
      </c>
    </row>
    <row r="9" spans="1:155" ht="24.95" customHeight="1" thickBot="1" x14ac:dyDescent="0.3">
      <c r="A9" s="29" t="str">
        <f t="shared" si="0"/>
        <v>8º</v>
      </c>
      <c r="B9" s="69" t="str">
        <f t="shared" si="1"/>
        <v>Gustavo Queiróz</v>
      </c>
      <c r="C9" s="86" t="str">
        <f t="shared" si="2"/>
        <v>BRA</v>
      </c>
      <c r="D9" s="99" t="str">
        <f t="shared" si="3"/>
        <v>Somente Pé Direito</v>
      </c>
      <c r="E9" s="9" t="str">
        <f t="shared" si="4"/>
        <v>Quixadá</v>
      </c>
      <c r="F9" s="166">
        <f t="shared" si="5"/>
        <v>1.76</v>
      </c>
      <c r="G9" s="35">
        <f t="shared" si="6"/>
        <v>46173</v>
      </c>
      <c r="H9" s="7">
        <f t="shared" si="7"/>
        <v>26</v>
      </c>
      <c r="I9" s="327" t="str">
        <f t="shared" si="8"/>
        <v>€1,2m p/m</v>
      </c>
      <c r="J9" s="3">
        <f t="shared" si="9"/>
        <v>0</v>
      </c>
      <c r="K9" s="96">
        <f t="shared" si="10"/>
        <v>4.5533333333333328</v>
      </c>
      <c r="L9" s="143">
        <f t="shared" si="11"/>
        <v>4.8</v>
      </c>
      <c r="M9" s="144">
        <f t="shared" si="12"/>
        <v>5</v>
      </c>
      <c r="N9" s="144">
        <f t="shared" si="13"/>
        <v>86.4</v>
      </c>
      <c r="O9" s="184">
        <f t="shared" si="14"/>
        <v>1</v>
      </c>
      <c r="P9" s="2">
        <f t="shared" si="15"/>
        <v>1</v>
      </c>
      <c r="Q9" s="2">
        <f t="shared" si="16"/>
        <v>0</v>
      </c>
      <c r="R9" s="2">
        <f t="shared" si="17"/>
        <v>1</v>
      </c>
      <c r="S9" s="6">
        <f t="shared" si="18"/>
        <v>2</v>
      </c>
      <c r="T9" s="24">
        <f t="shared" si="19"/>
        <v>216</v>
      </c>
      <c r="U9" s="21">
        <f t="shared" si="20"/>
        <v>0.41666666666666669</v>
      </c>
      <c r="V9" s="326">
        <f t="shared" si="21"/>
        <v>0</v>
      </c>
      <c r="W9" s="328">
        <f t="shared" si="22"/>
        <v>0</v>
      </c>
      <c r="X9" s="326">
        <f t="shared" si="23"/>
        <v>0</v>
      </c>
      <c r="Y9" s="328">
        <f t="shared" si="24"/>
        <v>0</v>
      </c>
      <c r="Z9" s="318">
        <f t="shared" si="25"/>
        <v>0</v>
      </c>
      <c r="AA9" s="326">
        <f t="shared" si="26"/>
        <v>0</v>
      </c>
      <c r="AB9" s="314">
        <f t="shared" si="27"/>
        <v>0</v>
      </c>
      <c r="AC9" s="314">
        <f t="shared" si="28"/>
        <v>0</v>
      </c>
      <c r="AD9" s="314">
        <f t="shared" si="29"/>
        <v>0</v>
      </c>
      <c r="AE9" s="21">
        <f t="shared" si="30"/>
        <v>9.9999999999999995E-8</v>
      </c>
      <c r="AF9" s="6">
        <f t="shared" si="31"/>
        <v>1</v>
      </c>
      <c r="AG9" s="6">
        <f t="shared" si="32"/>
        <v>0</v>
      </c>
      <c r="AH9" s="6">
        <f t="shared" si="33"/>
        <v>1</v>
      </c>
      <c r="AI9" s="6">
        <f t="shared" si="34"/>
        <v>1</v>
      </c>
      <c r="AJ9" s="2">
        <f t="shared" si="35"/>
        <v>0</v>
      </c>
      <c r="AK9" s="5">
        <f t="shared" si="36"/>
        <v>0.20833333333333334</v>
      </c>
      <c r="AL9" s="5">
        <f t="shared" si="37"/>
        <v>0</v>
      </c>
      <c r="AM9" s="5">
        <f t="shared" si="38"/>
        <v>0.20833333333333334</v>
      </c>
      <c r="AN9" s="332">
        <f t="shared" si="39"/>
        <v>21</v>
      </c>
      <c r="AO9" s="333">
        <f t="shared" si="40"/>
        <v>4.375</v>
      </c>
      <c r="AP9" s="5">
        <f t="shared" si="41"/>
        <v>0.35</v>
      </c>
      <c r="AQ9" s="5">
        <f t="shared" si="42"/>
        <v>0.35</v>
      </c>
      <c r="AR9" s="5">
        <f t="shared" si="43"/>
        <v>7.2916666666666671E-2</v>
      </c>
      <c r="AS9" s="5">
        <f t="shared" si="44"/>
        <v>0.18</v>
      </c>
      <c r="AT9" s="5">
        <f t="shared" si="45"/>
        <v>3.7499999999999999E-2</v>
      </c>
      <c r="AU9" s="5">
        <f t="shared" si="46"/>
        <v>0.53</v>
      </c>
      <c r="AV9" s="5">
        <f t="shared" si="47"/>
        <v>0.11041666666666668</v>
      </c>
      <c r="AW9" s="21">
        <f t="shared" si="48"/>
        <v>1</v>
      </c>
      <c r="AX9" s="21">
        <f t="shared" si="49"/>
        <v>0.7407407407407407</v>
      </c>
      <c r="AY9" s="6">
        <f t="shared" si="50"/>
        <v>35</v>
      </c>
      <c r="AZ9" s="6">
        <f t="shared" si="51"/>
        <v>10</v>
      </c>
      <c r="BA9" s="21">
        <f t="shared" si="52"/>
        <v>0.2857142857142857</v>
      </c>
      <c r="BB9" s="6">
        <f t="shared" si="53"/>
        <v>205</v>
      </c>
      <c r="BC9" s="6">
        <f t="shared" si="54"/>
        <v>192</v>
      </c>
      <c r="BD9" s="24">
        <f t="shared" si="55"/>
        <v>42.708333333333336</v>
      </c>
      <c r="BE9" s="24">
        <f t="shared" si="56"/>
        <v>40</v>
      </c>
      <c r="BF9" s="24">
        <f t="shared" si="57"/>
        <v>2.7083333333333357</v>
      </c>
      <c r="BG9" s="20">
        <f t="shared" si="58"/>
        <v>0.93658536585365859</v>
      </c>
      <c r="BH9" s="6">
        <f t="shared" si="59"/>
        <v>13</v>
      </c>
      <c r="BI9" s="21">
        <f t="shared" si="60"/>
        <v>6.3414634146341409E-2</v>
      </c>
      <c r="BJ9" s="208">
        <f t="shared" si="61"/>
        <v>14</v>
      </c>
      <c r="BK9" s="196">
        <f t="shared" si="62"/>
        <v>2.916666666666667</v>
      </c>
      <c r="BL9" s="5">
        <f t="shared" si="63"/>
        <v>25</v>
      </c>
      <c r="BM9" s="21">
        <f t="shared" si="64"/>
        <v>0</v>
      </c>
      <c r="BN9" s="5">
        <f t="shared" si="65"/>
        <v>0.18</v>
      </c>
      <c r="BO9" s="5">
        <f t="shared" si="66"/>
        <v>1.2857142857142857E-2</v>
      </c>
      <c r="BP9" s="24">
        <f t="shared" si="67"/>
        <v>30.857142857142858</v>
      </c>
      <c r="BQ9" s="5">
        <f t="shared" si="68"/>
        <v>27</v>
      </c>
      <c r="BR9" s="5">
        <f t="shared" si="69"/>
        <v>0.65</v>
      </c>
      <c r="BS9" s="5">
        <f t="shared" si="70"/>
        <v>0.65</v>
      </c>
      <c r="BT9" s="6">
        <f t="shared" si="71"/>
        <v>5</v>
      </c>
      <c r="BU9" s="5">
        <f t="shared" si="72"/>
        <v>1.0416666666666667</v>
      </c>
      <c r="BV9" s="6">
        <f t="shared" si="73"/>
        <v>3</v>
      </c>
      <c r="BW9" s="5">
        <f t="shared" si="74"/>
        <v>0.625</v>
      </c>
      <c r="BX9" s="6">
        <f t="shared" si="75"/>
        <v>2</v>
      </c>
      <c r="BY9" s="5">
        <f t="shared" si="76"/>
        <v>0.41666666666666669</v>
      </c>
      <c r="BZ9" s="5">
        <f t="shared" si="77"/>
        <v>0.41666666666666669</v>
      </c>
      <c r="CA9" s="21">
        <f t="shared" si="78"/>
        <v>0.4</v>
      </c>
      <c r="CB9" s="5">
        <f t="shared" si="79"/>
        <v>5</v>
      </c>
      <c r="CC9" s="5">
        <f t="shared" si="80"/>
        <v>2</v>
      </c>
      <c r="CD9" s="21">
        <f t="shared" si="81"/>
        <v>0.2</v>
      </c>
      <c r="CE9" s="326">
        <f t="shared" si="82"/>
        <v>1</v>
      </c>
      <c r="CF9" s="326">
        <f t="shared" si="83"/>
        <v>0</v>
      </c>
      <c r="CG9" s="326">
        <f t="shared" si="84"/>
        <v>0</v>
      </c>
      <c r="CH9" s="21">
        <f t="shared" si="85"/>
        <v>0</v>
      </c>
      <c r="CI9" s="6">
        <f t="shared" si="86"/>
        <v>15.2</v>
      </c>
      <c r="CJ9" s="5">
        <f t="shared" si="87"/>
        <v>3.1666666666666665</v>
      </c>
      <c r="CK9" s="178">
        <f t="shared" si="88"/>
        <v>75</v>
      </c>
      <c r="CL9" s="5">
        <f t="shared" si="89"/>
        <v>15.625</v>
      </c>
      <c r="CM9" s="6">
        <f t="shared" si="90"/>
        <v>47</v>
      </c>
      <c r="CN9" s="5">
        <f t="shared" si="91"/>
        <v>9.7916666666666679</v>
      </c>
      <c r="CO9" s="21">
        <f t="shared" si="92"/>
        <v>0.62666666666666671</v>
      </c>
      <c r="CP9" s="6">
        <f t="shared" si="93"/>
        <v>26.68</v>
      </c>
      <c r="CQ9" s="5">
        <f t="shared" si="94"/>
        <v>5.5583333333333336</v>
      </c>
      <c r="CR9" s="6">
        <f t="shared" si="95"/>
        <v>26.93</v>
      </c>
      <c r="CS9" s="5">
        <f t="shared" si="96"/>
        <v>5.6104166666666666</v>
      </c>
      <c r="CT9" s="5">
        <f t="shared" si="97"/>
        <v>61.041666666666671</v>
      </c>
      <c r="CU9" s="5">
        <f t="shared" si="98"/>
        <v>46.25</v>
      </c>
      <c r="CV9" s="6">
        <f t="shared" si="99"/>
        <v>30</v>
      </c>
      <c r="CW9" s="5">
        <f t="shared" si="100"/>
        <v>6.25</v>
      </c>
      <c r="CX9" s="6">
        <f t="shared" si="101"/>
        <v>91</v>
      </c>
      <c r="CY9" s="5">
        <f t="shared" si="102"/>
        <v>18.958333333333336</v>
      </c>
      <c r="CZ9" s="6">
        <f t="shared" si="103"/>
        <v>19</v>
      </c>
      <c r="DA9" s="5">
        <f t="shared" si="104"/>
        <v>3.9583333333333335</v>
      </c>
      <c r="DB9" s="6">
        <f t="shared" si="105"/>
        <v>41</v>
      </c>
      <c r="DC9" s="5">
        <f t="shared" si="106"/>
        <v>8.5416666666666679</v>
      </c>
      <c r="DD9" s="5">
        <f t="shared" si="107"/>
        <v>15.2</v>
      </c>
      <c r="DE9" s="5">
        <f t="shared" si="108"/>
        <v>57</v>
      </c>
      <c r="DF9" s="5">
        <f t="shared" si="109"/>
        <v>11.875</v>
      </c>
      <c r="DG9" s="314">
        <f t="shared" si="110"/>
        <v>62.879999999999995</v>
      </c>
      <c r="DH9" s="315">
        <f t="shared" si="111"/>
        <v>13.1</v>
      </c>
      <c r="DI9" s="62">
        <f t="shared" si="112"/>
        <v>6.98</v>
      </c>
      <c r="DJ9" s="298" t="s">
        <v>19</v>
      </c>
      <c r="DK9" s="294" t="s">
        <v>13</v>
      </c>
      <c r="DL9" s="294" t="s">
        <v>970</v>
      </c>
      <c r="DM9" s="294">
        <v>26</v>
      </c>
      <c r="DN9" s="294" t="s">
        <v>871</v>
      </c>
      <c r="DO9" s="294" t="s">
        <v>561</v>
      </c>
      <c r="DP9" s="294" t="s">
        <v>602</v>
      </c>
      <c r="DQ9" s="392">
        <v>0</v>
      </c>
      <c r="DR9" s="294" t="s">
        <v>855</v>
      </c>
      <c r="DS9" s="295">
        <v>46173</v>
      </c>
      <c r="DT9" s="294">
        <v>432</v>
      </c>
      <c r="DU9" s="294">
        <v>5</v>
      </c>
      <c r="DV9" s="294">
        <v>2</v>
      </c>
      <c r="DW9" s="294">
        <v>1</v>
      </c>
      <c r="DX9" s="294">
        <v>0</v>
      </c>
      <c r="DY9" s="294">
        <v>0</v>
      </c>
      <c r="DZ9" s="294">
        <v>15.2</v>
      </c>
      <c r="EA9" s="294" t="s">
        <v>851</v>
      </c>
      <c r="EB9" s="294" t="s">
        <v>884</v>
      </c>
      <c r="EC9" s="294">
        <v>1</v>
      </c>
      <c r="ED9" s="294">
        <v>2</v>
      </c>
      <c r="EE9" s="294">
        <v>205</v>
      </c>
      <c r="EF9" s="294">
        <v>192</v>
      </c>
      <c r="EG9" s="294">
        <v>14</v>
      </c>
      <c r="EH9" s="294">
        <v>16</v>
      </c>
      <c r="EI9" s="294">
        <v>21</v>
      </c>
      <c r="EJ9" s="294">
        <v>5</v>
      </c>
      <c r="EK9" s="294">
        <v>2</v>
      </c>
      <c r="EL9" s="294">
        <v>33</v>
      </c>
      <c r="EM9" s="294">
        <v>12</v>
      </c>
      <c r="EN9" s="294">
        <v>35</v>
      </c>
      <c r="EO9" s="294">
        <v>10</v>
      </c>
      <c r="EP9" s="294">
        <v>35</v>
      </c>
      <c r="EQ9" s="294">
        <v>10</v>
      </c>
      <c r="ER9" s="294">
        <v>0</v>
      </c>
      <c r="ES9" s="294">
        <v>0.4</v>
      </c>
      <c r="ET9" s="294">
        <v>0</v>
      </c>
      <c r="EU9" s="294">
        <v>0</v>
      </c>
      <c r="EV9" s="294">
        <v>0</v>
      </c>
      <c r="EW9" s="294">
        <v>13.1</v>
      </c>
      <c r="EX9" s="294" t="s">
        <v>927</v>
      </c>
      <c r="EY9" s="299">
        <v>6.98</v>
      </c>
    </row>
    <row r="10" spans="1:155" ht="24.95" customHeight="1" thickBot="1" x14ac:dyDescent="0.3">
      <c r="A10" s="29" t="str">
        <f t="shared" si="0"/>
        <v>9º</v>
      </c>
      <c r="B10" s="69" t="str">
        <f t="shared" si="1"/>
        <v>Gabriel Bonet</v>
      </c>
      <c r="C10" s="86" t="str">
        <f t="shared" si="2"/>
        <v>BRA</v>
      </c>
      <c r="D10" s="99" t="str">
        <f t="shared" si="3"/>
        <v>Somente Pé Direito</v>
      </c>
      <c r="E10" s="9" t="str">
        <f t="shared" si="4"/>
        <v>Araçatuba</v>
      </c>
      <c r="F10" s="166">
        <f t="shared" si="5"/>
        <v>1.79</v>
      </c>
      <c r="G10" s="35">
        <f t="shared" si="6"/>
        <v>46157</v>
      </c>
      <c r="H10" s="7">
        <f t="shared" si="7"/>
        <v>30</v>
      </c>
      <c r="I10" s="327" t="str">
        <f t="shared" si="8"/>
        <v>€1,2m p/m</v>
      </c>
      <c r="J10" s="3">
        <f t="shared" si="9"/>
        <v>0</v>
      </c>
      <c r="K10" s="96">
        <f t="shared" si="10"/>
        <v>4.5533333333333328</v>
      </c>
      <c r="L10" s="143">
        <f t="shared" si="11"/>
        <v>3.7666666666666666</v>
      </c>
      <c r="M10" s="144">
        <f t="shared" si="12"/>
        <v>4</v>
      </c>
      <c r="N10" s="144">
        <f t="shared" si="13"/>
        <v>84.75</v>
      </c>
      <c r="O10" s="184">
        <f t="shared" si="14"/>
        <v>1</v>
      </c>
      <c r="P10" s="2">
        <f t="shared" si="15"/>
        <v>1</v>
      </c>
      <c r="Q10" s="2">
        <f t="shared" si="16"/>
        <v>1</v>
      </c>
      <c r="R10" s="2">
        <f t="shared" si="17"/>
        <v>2</v>
      </c>
      <c r="S10" s="6">
        <f t="shared" si="18"/>
        <v>1</v>
      </c>
      <c r="T10" s="24">
        <f t="shared" si="19"/>
        <v>339</v>
      </c>
      <c r="U10" s="21">
        <f t="shared" si="20"/>
        <v>0.26548672566371684</v>
      </c>
      <c r="V10" s="326">
        <f t="shared" si="21"/>
        <v>10</v>
      </c>
      <c r="W10" s="328">
        <f t="shared" si="22"/>
        <v>2.6548672566371683</v>
      </c>
      <c r="X10" s="326">
        <f t="shared" si="23"/>
        <v>0</v>
      </c>
      <c r="Y10" s="328">
        <f t="shared" si="24"/>
        <v>0</v>
      </c>
      <c r="Z10" s="318">
        <f t="shared" si="25"/>
        <v>0</v>
      </c>
      <c r="AA10" s="326">
        <f t="shared" si="26"/>
        <v>0</v>
      </c>
      <c r="AB10" s="314">
        <f t="shared" si="27"/>
        <v>0</v>
      </c>
      <c r="AC10" s="314">
        <f t="shared" si="28"/>
        <v>0</v>
      </c>
      <c r="AD10" s="314">
        <f t="shared" si="29"/>
        <v>0</v>
      </c>
      <c r="AE10" s="21">
        <f t="shared" si="30"/>
        <v>9.9999999999999995E-8</v>
      </c>
      <c r="AF10" s="6">
        <f t="shared" si="31"/>
        <v>1</v>
      </c>
      <c r="AG10" s="6">
        <f t="shared" si="32"/>
        <v>1</v>
      </c>
      <c r="AH10" s="6">
        <f t="shared" si="33"/>
        <v>2</v>
      </c>
      <c r="AI10" s="6">
        <f t="shared" si="34"/>
        <v>1</v>
      </c>
      <c r="AJ10" s="2">
        <f t="shared" si="35"/>
        <v>0</v>
      </c>
      <c r="AK10" s="5">
        <f t="shared" si="36"/>
        <v>0.26548672566371684</v>
      </c>
      <c r="AL10" s="5">
        <f t="shared" si="37"/>
        <v>0.26548672566371684</v>
      </c>
      <c r="AM10" s="5">
        <f t="shared" si="38"/>
        <v>0.53097345132743368</v>
      </c>
      <c r="AN10" s="332">
        <f t="shared" si="39"/>
        <v>9</v>
      </c>
      <c r="AO10" s="333">
        <f t="shared" si="40"/>
        <v>2.3893805309734515</v>
      </c>
      <c r="AP10" s="5">
        <f t="shared" si="41"/>
        <v>0.79</v>
      </c>
      <c r="AQ10" s="5">
        <f t="shared" si="42"/>
        <v>0.79</v>
      </c>
      <c r="AR10" s="5">
        <f t="shared" si="43"/>
        <v>0.20973451327433629</v>
      </c>
      <c r="AS10" s="5">
        <f t="shared" si="44"/>
        <v>1.01</v>
      </c>
      <c r="AT10" s="5">
        <f t="shared" si="45"/>
        <v>0.268141592920354</v>
      </c>
      <c r="AU10" s="5">
        <f t="shared" si="46"/>
        <v>1.8</v>
      </c>
      <c r="AV10" s="5">
        <f t="shared" si="47"/>
        <v>0.47787610619469029</v>
      </c>
      <c r="AW10" s="21">
        <f t="shared" si="48"/>
        <v>0.50248756218905477</v>
      </c>
      <c r="AX10" s="21">
        <f t="shared" si="49"/>
        <v>0.55865921787709494</v>
      </c>
      <c r="AY10" s="6">
        <f t="shared" si="50"/>
        <v>7</v>
      </c>
      <c r="AZ10" s="6">
        <f t="shared" si="51"/>
        <v>0</v>
      </c>
      <c r="BA10" s="21">
        <f t="shared" si="52"/>
        <v>0</v>
      </c>
      <c r="BB10" s="6">
        <f t="shared" si="53"/>
        <v>164</v>
      </c>
      <c r="BC10" s="6">
        <f t="shared" si="54"/>
        <v>155</v>
      </c>
      <c r="BD10" s="24">
        <f t="shared" si="55"/>
        <v>43.539823008849559</v>
      </c>
      <c r="BE10" s="24">
        <f t="shared" si="56"/>
        <v>41.150442477876105</v>
      </c>
      <c r="BF10" s="24">
        <f t="shared" si="57"/>
        <v>2.3893805309734546</v>
      </c>
      <c r="BG10" s="20">
        <f t="shared" si="58"/>
        <v>0.94512195121951215</v>
      </c>
      <c r="BH10" s="6">
        <f t="shared" si="59"/>
        <v>9</v>
      </c>
      <c r="BI10" s="21">
        <f t="shared" si="60"/>
        <v>5.4878048780487854E-2</v>
      </c>
      <c r="BJ10" s="208">
        <f t="shared" si="61"/>
        <v>12</v>
      </c>
      <c r="BK10" s="196">
        <f t="shared" si="62"/>
        <v>3.1858407079646018</v>
      </c>
      <c r="BL10" s="5">
        <f t="shared" si="63"/>
        <v>12</v>
      </c>
      <c r="BM10" s="21">
        <f t="shared" si="64"/>
        <v>8.3333333333333329E-2</v>
      </c>
      <c r="BN10" s="5">
        <f t="shared" si="65"/>
        <v>1.0000000000000009E-2</v>
      </c>
      <c r="BO10" s="5">
        <f t="shared" si="66"/>
        <v>8.4166666666666667E-2</v>
      </c>
      <c r="BP10" s="24">
        <f t="shared" si="67"/>
        <v>28.25</v>
      </c>
      <c r="BQ10" s="5">
        <f t="shared" si="68"/>
        <v>21.1875</v>
      </c>
      <c r="BR10" s="5">
        <f t="shared" si="69"/>
        <v>0.20999999999999996</v>
      </c>
      <c r="BS10" s="5">
        <f t="shared" si="70"/>
        <v>0.20999999999999996</v>
      </c>
      <c r="BT10" s="6">
        <f t="shared" si="71"/>
        <v>7</v>
      </c>
      <c r="BU10" s="5">
        <f t="shared" si="72"/>
        <v>1.8584070796460177</v>
      </c>
      <c r="BV10" s="6">
        <f t="shared" si="73"/>
        <v>3</v>
      </c>
      <c r="BW10" s="5">
        <f t="shared" si="74"/>
        <v>0.79646017699115046</v>
      </c>
      <c r="BX10" s="6">
        <f t="shared" si="75"/>
        <v>4</v>
      </c>
      <c r="BY10" s="5">
        <f t="shared" si="76"/>
        <v>1.0619469026548674</v>
      </c>
      <c r="BZ10" s="5">
        <f t="shared" si="77"/>
        <v>1.0619469026548674</v>
      </c>
      <c r="CA10" s="21">
        <f t="shared" si="78"/>
        <v>0.5714285714285714</v>
      </c>
      <c r="CB10" s="5">
        <f t="shared" si="79"/>
        <v>7</v>
      </c>
      <c r="CC10" s="5">
        <f t="shared" si="80"/>
        <v>4</v>
      </c>
      <c r="CD10" s="21">
        <f t="shared" si="81"/>
        <v>0.14285714285714285</v>
      </c>
      <c r="CE10" s="326">
        <f t="shared" si="82"/>
        <v>1</v>
      </c>
      <c r="CF10" s="326">
        <f t="shared" si="83"/>
        <v>0</v>
      </c>
      <c r="CG10" s="326">
        <f t="shared" si="84"/>
        <v>0</v>
      </c>
      <c r="CH10" s="21">
        <f t="shared" si="85"/>
        <v>0</v>
      </c>
      <c r="CI10" s="6">
        <f t="shared" si="86"/>
        <v>15.1</v>
      </c>
      <c r="CJ10" s="5">
        <f t="shared" si="87"/>
        <v>4.0088495575221241</v>
      </c>
      <c r="CK10" s="178">
        <f t="shared" si="88"/>
        <v>35</v>
      </c>
      <c r="CL10" s="5">
        <f t="shared" si="89"/>
        <v>9.2920353982300892</v>
      </c>
      <c r="CM10" s="6">
        <f t="shared" si="90"/>
        <v>25</v>
      </c>
      <c r="CN10" s="5">
        <f t="shared" si="91"/>
        <v>6.6371681415929205</v>
      </c>
      <c r="CO10" s="21">
        <f t="shared" si="92"/>
        <v>0.7142857142857143</v>
      </c>
      <c r="CP10" s="6">
        <f t="shared" si="93"/>
        <v>18.009999999999998</v>
      </c>
      <c r="CQ10" s="5">
        <f t="shared" si="94"/>
        <v>4.781415929203539</v>
      </c>
      <c r="CR10" s="6">
        <f t="shared" si="95"/>
        <v>18.509999999999998</v>
      </c>
      <c r="CS10" s="5">
        <f t="shared" si="96"/>
        <v>4.9141592920353974</v>
      </c>
      <c r="CT10" s="5">
        <f t="shared" si="97"/>
        <v>57.079646017699119</v>
      </c>
      <c r="CU10" s="5">
        <f t="shared" si="98"/>
        <v>48.318584070796462</v>
      </c>
      <c r="CV10" s="6">
        <f t="shared" si="99"/>
        <v>27</v>
      </c>
      <c r="CW10" s="5">
        <f t="shared" si="100"/>
        <v>7.168141592920354</v>
      </c>
      <c r="CX10" s="6">
        <f t="shared" si="101"/>
        <v>50</v>
      </c>
      <c r="CY10" s="5">
        <f t="shared" si="102"/>
        <v>13.274336283185841</v>
      </c>
      <c r="CZ10" s="6">
        <f t="shared" si="103"/>
        <v>19</v>
      </c>
      <c r="DA10" s="5">
        <f t="shared" si="104"/>
        <v>5.0442477876106198</v>
      </c>
      <c r="DB10" s="6">
        <f t="shared" si="105"/>
        <v>19</v>
      </c>
      <c r="DC10" s="5">
        <f t="shared" si="106"/>
        <v>5.0442477876106198</v>
      </c>
      <c r="DD10" s="5">
        <f t="shared" si="107"/>
        <v>15.1</v>
      </c>
      <c r="DE10" s="5">
        <f t="shared" si="108"/>
        <v>39.700000000000003</v>
      </c>
      <c r="DF10" s="5">
        <f t="shared" si="109"/>
        <v>10.539823008849558</v>
      </c>
      <c r="DG10" s="314">
        <f t="shared" si="110"/>
        <v>39.926666666666662</v>
      </c>
      <c r="DH10" s="315">
        <f t="shared" si="111"/>
        <v>10.6</v>
      </c>
      <c r="DI10" s="62">
        <f t="shared" si="112"/>
        <v>7.4</v>
      </c>
      <c r="DJ10" s="296"/>
      <c r="DK10" s="292" t="s">
        <v>13</v>
      </c>
      <c r="DL10" s="292" t="s">
        <v>979</v>
      </c>
      <c r="DM10" s="292">
        <v>30</v>
      </c>
      <c r="DN10" s="292" t="s">
        <v>899</v>
      </c>
      <c r="DO10" s="292" t="s">
        <v>583</v>
      </c>
      <c r="DP10" s="292" t="s">
        <v>602</v>
      </c>
      <c r="DQ10" s="393">
        <v>0</v>
      </c>
      <c r="DR10" s="292" t="s">
        <v>855</v>
      </c>
      <c r="DS10" s="293">
        <v>46157</v>
      </c>
      <c r="DT10" s="292">
        <v>339</v>
      </c>
      <c r="DU10" s="292">
        <v>4</v>
      </c>
      <c r="DV10" s="292">
        <v>1</v>
      </c>
      <c r="DW10" s="292">
        <v>1</v>
      </c>
      <c r="DX10" s="292">
        <v>1</v>
      </c>
      <c r="DY10" s="292">
        <v>0</v>
      </c>
      <c r="DZ10" s="292">
        <v>15.1</v>
      </c>
      <c r="EA10" s="292" t="s">
        <v>974</v>
      </c>
      <c r="EB10" s="292" t="s">
        <v>960</v>
      </c>
      <c r="EC10" s="292">
        <v>2</v>
      </c>
      <c r="ED10" s="292">
        <v>6</v>
      </c>
      <c r="EE10" s="292">
        <v>164</v>
      </c>
      <c r="EF10" s="292">
        <v>155</v>
      </c>
      <c r="EG10" s="292">
        <v>12</v>
      </c>
      <c r="EH10" s="292">
        <v>15</v>
      </c>
      <c r="EI10" s="292">
        <v>9</v>
      </c>
      <c r="EJ10" s="292">
        <v>7</v>
      </c>
      <c r="EK10" s="292">
        <v>4</v>
      </c>
      <c r="EL10" s="292">
        <v>24</v>
      </c>
      <c r="EM10" s="292">
        <v>8</v>
      </c>
      <c r="EN10" s="292">
        <v>7</v>
      </c>
      <c r="EO10" s="292">
        <v>0</v>
      </c>
      <c r="EP10" s="292">
        <v>17</v>
      </c>
      <c r="EQ10" s="292">
        <v>0</v>
      </c>
      <c r="ER10" s="292">
        <v>0</v>
      </c>
      <c r="ES10" s="292">
        <v>0</v>
      </c>
      <c r="ET10" s="292">
        <v>0</v>
      </c>
      <c r="EU10" s="292">
        <v>0</v>
      </c>
      <c r="EV10" s="292">
        <v>0</v>
      </c>
      <c r="EW10" s="292">
        <v>10.6</v>
      </c>
      <c r="EX10" s="292" t="s">
        <v>980</v>
      </c>
      <c r="EY10" s="297">
        <v>7.4</v>
      </c>
    </row>
    <row r="11" spans="1:155" ht="24.95" customHeight="1" thickBot="1" x14ac:dyDescent="0.3">
      <c r="A11" s="29" t="str">
        <f t="shared" si="0"/>
        <v>10º</v>
      </c>
      <c r="B11" s="69" t="str">
        <f t="shared" si="1"/>
        <v>Élvis</v>
      </c>
      <c r="C11" s="86" t="str">
        <f t="shared" si="2"/>
        <v>BRA</v>
      </c>
      <c r="D11" s="99" t="str">
        <f t="shared" si="3"/>
        <v>Somente Pé Esquerdo</v>
      </c>
      <c r="E11" s="9" t="str">
        <f t="shared" si="4"/>
        <v>Santo André</v>
      </c>
      <c r="F11" s="166">
        <f t="shared" si="5"/>
        <v>1.72</v>
      </c>
      <c r="G11" s="35">
        <f t="shared" si="6"/>
        <v>46157</v>
      </c>
      <c r="H11" s="7">
        <f t="shared" si="7"/>
        <v>29</v>
      </c>
      <c r="I11" s="327" t="str">
        <f t="shared" si="8"/>
        <v>€1,2m p/m</v>
      </c>
      <c r="J11" s="3">
        <f t="shared" si="9"/>
        <v>0</v>
      </c>
      <c r="K11" s="96">
        <f t="shared" si="10"/>
        <v>4.5533333333333328</v>
      </c>
      <c r="L11" s="143">
        <f t="shared" si="11"/>
        <v>5.833333333333333</v>
      </c>
      <c r="M11" s="144">
        <f t="shared" si="12"/>
        <v>7</v>
      </c>
      <c r="N11" s="144">
        <f t="shared" si="13"/>
        <v>75</v>
      </c>
      <c r="O11" s="184">
        <f t="shared" si="14"/>
        <v>1</v>
      </c>
      <c r="P11" s="2">
        <f t="shared" si="15"/>
        <v>1</v>
      </c>
      <c r="Q11" s="2">
        <f t="shared" si="16"/>
        <v>2</v>
      </c>
      <c r="R11" s="2">
        <f t="shared" si="17"/>
        <v>3</v>
      </c>
      <c r="S11" s="6">
        <f t="shared" si="18"/>
        <v>0</v>
      </c>
      <c r="T11" s="24">
        <f t="shared" si="19"/>
        <v>5000</v>
      </c>
      <c r="U11" s="21">
        <f t="shared" si="20"/>
        <v>0</v>
      </c>
      <c r="V11" s="326">
        <f t="shared" si="21"/>
        <v>28</v>
      </c>
      <c r="W11" s="328">
        <f t="shared" si="22"/>
        <v>4.8</v>
      </c>
      <c r="X11" s="326">
        <f t="shared" si="23"/>
        <v>4</v>
      </c>
      <c r="Y11" s="328">
        <f t="shared" si="24"/>
        <v>0.68571428571428572</v>
      </c>
      <c r="Z11" s="318">
        <f t="shared" si="25"/>
        <v>0.14285714285714285</v>
      </c>
      <c r="AA11" s="326">
        <f t="shared" si="26"/>
        <v>2</v>
      </c>
      <c r="AB11" s="314">
        <f t="shared" si="27"/>
        <v>1</v>
      </c>
      <c r="AC11" s="314">
        <f t="shared" si="28"/>
        <v>1</v>
      </c>
      <c r="AD11" s="314">
        <f t="shared" si="29"/>
        <v>0</v>
      </c>
      <c r="AE11" s="21">
        <f t="shared" si="30"/>
        <v>1</v>
      </c>
      <c r="AF11" s="6">
        <f t="shared" si="31"/>
        <v>1</v>
      </c>
      <c r="AG11" s="6">
        <f t="shared" si="32"/>
        <v>2</v>
      </c>
      <c r="AH11" s="6">
        <f t="shared" si="33"/>
        <v>3</v>
      </c>
      <c r="AI11" s="6">
        <f t="shared" si="34"/>
        <v>0</v>
      </c>
      <c r="AJ11" s="2">
        <f t="shared" si="35"/>
        <v>0</v>
      </c>
      <c r="AK11" s="5">
        <f t="shared" si="36"/>
        <v>0.17142857142857143</v>
      </c>
      <c r="AL11" s="5">
        <f t="shared" si="37"/>
        <v>0.34285714285714286</v>
      </c>
      <c r="AM11" s="5">
        <f t="shared" si="38"/>
        <v>0.51428571428571435</v>
      </c>
      <c r="AN11" s="332">
        <f t="shared" si="39"/>
        <v>3</v>
      </c>
      <c r="AO11" s="333">
        <f t="shared" si="40"/>
        <v>0.51428571428571435</v>
      </c>
      <c r="AP11" s="5">
        <f t="shared" si="41"/>
        <v>1.17</v>
      </c>
      <c r="AQ11" s="5">
        <f t="shared" si="42"/>
        <v>0.37999999999999989</v>
      </c>
      <c r="AR11" s="5">
        <f t="shared" si="43"/>
        <v>6.5142857142857127E-2</v>
      </c>
      <c r="AS11" s="5">
        <f t="shared" si="44"/>
        <v>0.8</v>
      </c>
      <c r="AT11" s="5">
        <f t="shared" si="45"/>
        <v>0.13714285714285715</v>
      </c>
      <c r="AU11" s="5">
        <f t="shared" si="46"/>
        <v>1.18</v>
      </c>
      <c r="AV11" s="5">
        <f t="shared" si="47"/>
        <v>0.20228571428571429</v>
      </c>
      <c r="AW11" s="21">
        <f t="shared" si="48"/>
        <v>0.28571428571428575</v>
      </c>
      <c r="AX11" s="21">
        <f t="shared" si="49"/>
        <v>0.46082949308755761</v>
      </c>
      <c r="AY11" s="6">
        <f t="shared" si="50"/>
        <v>7</v>
      </c>
      <c r="AZ11" s="6">
        <f t="shared" si="51"/>
        <v>0</v>
      </c>
      <c r="BA11" s="21">
        <f t="shared" si="52"/>
        <v>0</v>
      </c>
      <c r="BB11" s="6">
        <f t="shared" si="53"/>
        <v>376</v>
      </c>
      <c r="BC11" s="6">
        <f t="shared" si="54"/>
        <v>340</v>
      </c>
      <c r="BD11" s="24">
        <f t="shared" si="55"/>
        <v>64.457142857142856</v>
      </c>
      <c r="BE11" s="24">
        <f t="shared" si="56"/>
        <v>58.285714285714292</v>
      </c>
      <c r="BF11" s="24">
        <f t="shared" si="57"/>
        <v>6.1714285714285637</v>
      </c>
      <c r="BG11" s="20">
        <f t="shared" si="58"/>
        <v>0.9042553191489362</v>
      </c>
      <c r="BH11" s="6">
        <f t="shared" si="59"/>
        <v>36</v>
      </c>
      <c r="BI11" s="21">
        <f t="shared" si="60"/>
        <v>9.5744680851063801E-2</v>
      </c>
      <c r="BJ11" s="208">
        <f t="shared" si="61"/>
        <v>10</v>
      </c>
      <c r="BK11" s="196">
        <f t="shared" si="62"/>
        <v>1.7142857142857144</v>
      </c>
      <c r="BL11" s="5">
        <f t="shared" si="63"/>
        <v>5</v>
      </c>
      <c r="BM11" s="21">
        <f t="shared" si="64"/>
        <v>0.2</v>
      </c>
      <c r="BN11" s="5">
        <f t="shared" si="65"/>
        <v>-1.2</v>
      </c>
      <c r="BO11" s="5">
        <f t="shared" si="66"/>
        <v>0.08</v>
      </c>
      <c r="BP11" s="24">
        <f t="shared" si="67"/>
        <v>52.5</v>
      </c>
      <c r="BQ11" s="5">
        <f t="shared" si="68"/>
        <v>37.5</v>
      </c>
      <c r="BR11" s="5">
        <f t="shared" si="69"/>
        <v>-0.16999999999999993</v>
      </c>
      <c r="BS11" s="5">
        <f t="shared" si="70"/>
        <v>-0.96</v>
      </c>
      <c r="BT11" s="6">
        <f t="shared" si="71"/>
        <v>8</v>
      </c>
      <c r="BU11" s="5">
        <f t="shared" si="72"/>
        <v>1.3714285714285714</v>
      </c>
      <c r="BV11" s="6">
        <f t="shared" si="73"/>
        <v>6</v>
      </c>
      <c r="BW11" s="5">
        <f t="shared" si="74"/>
        <v>1.0285714285714287</v>
      </c>
      <c r="BX11" s="6">
        <f t="shared" si="75"/>
        <v>3</v>
      </c>
      <c r="BY11" s="5">
        <f t="shared" si="76"/>
        <v>0.51428571428571435</v>
      </c>
      <c r="BZ11" s="5">
        <f t="shared" si="77"/>
        <v>0.34285714285714286</v>
      </c>
      <c r="CA11" s="21">
        <f t="shared" si="78"/>
        <v>0.25</v>
      </c>
      <c r="CB11" s="5">
        <f t="shared" si="79"/>
        <v>50</v>
      </c>
      <c r="CC11" s="5">
        <f t="shared" si="80"/>
        <v>3</v>
      </c>
      <c r="CD11" s="21">
        <f t="shared" si="81"/>
        <v>0</v>
      </c>
      <c r="CE11" s="326">
        <f t="shared" si="82"/>
        <v>0</v>
      </c>
      <c r="CF11" s="326">
        <f t="shared" si="83"/>
        <v>0</v>
      </c>
      <c r="CG11" s="326">
        <f t="shared" si="84"/>
        <v>1</v>
      </c>
      <c r="CH11" s="21">
        <f t="shared" si="85"/>
        <v>0</v>
      </c>
      <c r="CI11" s="6">
        <f t="shared" si="86"/>
        <v>11.3</v>
      </c>
      <c r="CJ11" s="5">
        <f t="shared" si="87"/>
        <v>1.9371428571428573</v>
      </c>
      <c r="CK11" s="178">
        <f t="shared" si="88"/>
        <v>29</v>
      </c>
      <c r="CL11" s="5">
        <f t="shared" si="89"/>
        <v>4.9714285714285715</v>
      </c>
      <c r="CM11" s="6">
        <f t="shared" si="90"/>
        <v>16</v>
      </c>
      <c r="CN11" s="5">
        <f t="shared" si="91"/>
        <v>2.7428571428571429</v>
      </c>
      <c r="CO11" s="21">
        <f t="shared" si="92"/>
        <v>0.55172413793103448</v>
      </c>
      <c r="CP11" s="6">
        <f t="shared" si="93"/>
        <v>16.3</v>
      </c>
      <c r="CQ11" s="5">
        <f t="shared" si="94"/>
        <v>2.7942857142857145</v>
      </c>
      <c r="CR11" s="6">
        <f t="shared" si="95"/>
        <v>17.05</v>
      </c>
      <c r="CS11" s="5">
        <f t="shared" si="96"/>
        <v>2.922857142857143</v>
      </c>
      <c r="CT11" s="5">
        <f t="shared" si="97"/>
        <v>76.8</v>
      </c>
      <c r="CU11" s="5">
        <f t="shared" si="98"/>
        <v>66.171428571428578</v>
      </c>
      <c r="CV11" s="6">
        <f t="shared" si="99"/>
        <v>44</v>
      </c>
      <c r="CW11" s="5">
        <f t="shared" si="100"/>
        <v>7.5428571428571436</v>
      </c>
      <c r="CX11" s="6">
        <f t="shared" si="101"/>
        <v>64</v>
      </c>
      <c r="CY11" s="5">
        <f t="shared" si="102"/>
        <v>10.971428571428572</v>
      </c>
      <c r="CZ11" s="6">
        <f t="shared" si="103"/>
        <v>21</v>
      </c>
      <c r="DA11" s="5">
        <f t="shared" si="104"/>
        <v>3.6</v>
      </c>
      <c r="DB11" s="6">
        <f t="shared" si="105"/>
        <v>49</v>
      </c>
      <c r="DC11" s="5">
        <f t="shared" si="106"/>
        <v>8.4</v>
      </c>
      <c r="DD11" s="5">
        <f t="shared" si="107"/>
        <v>11.3</v>
      </c>
      <c r="DE11" s="5">
        <f t="shared" si="108"/>
        <v>67.2</v>
      </c>
      <c r="DF11" s="5">
        <f t="shared" si="109"/>
        <v>11.520000000000001</v>
      </c>
      <c r="DG11" s="314">
        <f t="shared" si="110"/>
        <v>53.083333333333329</v>
      </c>
      <c r="DH11" s="315">
        <f t="shared" si="111"/>
        <v>9.1</v>
      </c>
      <c r="DI11" s="62">
        <f t="shared" si="112"/>
        <v>6.8</v>
      </c>
      <c r="DJ11" s="296" t="s">
        <v>19</v>
      </c>
      <c r="DK11" s="292" t="s">
        <v>13</v>
      </c>
      <c r="DL11" s="292" t="s">
        <v>962</v>
      </c>
      <c r="DM11" s="292">
        <v>29</v>
      </c>
      <c r="DN11" s="292" t="s">
        <v>852</v>
      </c>
      <c r="DO11" s="292" t="s">
        <v>727</v>
      </c>
      <c r="DP11" s="292" t="s">
        <v>790</v>
      </c>
      <c r="DQ11" s="393">
        <v>0</v>
      </c>
      <c r="DR11" s="292" t="s">
        <v>855</v>
      </c>
      <c r="DS11" s="293">
        <v>46157</v>
      </c>
      <c r="DT11" s="292">
        <v>525</v>
      </c>
      <c r="DU11" s="292">
        <v>7</v>
      </c>
      <c r="DV11" s="292">
        <v>0</v>
      </c>
      <c r="DW11" s="292">
        <v>1</v>
      </c>
      <c r="DX11" s="292">
        <v>2</v>
      </c>
      <c r="DY11" s="292">
        <v>2</v>
      </c>
      <c r="DZ11" s="292">
        <v>11.3</v>
      </c>
      <c r="EA11" s="292" t="s">
        <v>963</v>
      </c>
      <c r="EB11" s="292" t="s">
        <v>858</v>
      </c>
      <c r="EC11" s="292">
        <v>6</v>
      </c>
      <c r="ED11" s="292">
        <v>4</v>
      </c>
      <c r="EE11" s="292">
        <v>376</v>
      </c>
      <c r="EF11" s="292">
        <v>340</v>
      </c>
      <c r="EG11" s="292">
        <v>10</v>
      </c>
      <c r="EH11" s="292">
        <v>34</v>
      </c>
      <c r="EI11" s="292">
        <v>3</v>
      </c>
      <c r="EJ11" s="292">
        <v>9</v>
      </c>
      <c r="EK11" s="292">
        <v>3</v>
      </c>
      <c r="EL11" s="292">
        <v>49</v>
      </c>
      <c r="EM11" s="292">
        <v>7</v>
      </c>
      <c r="EN11" s="292">
        <v>7</v>
      </c>
      <c r="EO11" s="292">
        <v>0</v>
      </c>
      <c r="EP11" s="292">
        <v>35</v>
      </c>
      <c r="EQ11" s="292">
        <v>4</v>
      </c>
      <c r="ER11" s="292">
        <v>0</v>
      </c>
      <c r="ES11" s="292">
        <v>1.2</v>
      </c>
      <c r="ET11" s="292">
        <v>2</v>
      </c>
      <c r="EU11" s="292">
        <v>1</v>
      </c>
      <c r="EV11" s="292">
        <v>1</v>
      </c>
      <c r="EW11" s="292">
        <v>9.1</v>
      </c>
      <c r="EX11" s="292" t="s">
        <v>964</v>
      </c>
      <c r="EY11" s="297">
        <v>6.8</v>
      </c>
    </row>
    <row r="12" spans="1:155" ht="24.95" customHeight="1" x14ac:dyDescent="0.25"/>
    <row r="13" spans="1:155" ht="24.95" customHeight="1" x14ac:dyDescent="0.25"/>
    <row r="14" spans="1:155" ht="24.95" customHeight="1" x14ac:dyDescent="0.25"/>
    <row r="15" spans="1:155" ht="24.95" customHeight="1" x14ac:dyDescent="0.25"/>
    <row r="16" spans="1:155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</sheetData>
  <autoFilter ref="B1:EY1" xr:uid="{00000000-0001-0000-0500-000000000000}">
    <sortState xmlns:xlrd2="http://schemas.microsoft.com/office/spreadsheetml/2017/richdata2" ref="B2:EY11">
      <sortCondition descending="1" ref="BN1"/>
    </sortState>
  </autoFilter>
  <phoneticPr fontId="53" type="noConversion"/>
  <conditionalFormatting sqref="H2:H11">
    <cfRule type="colorScale" priority="832">
      <colorScale>
        <cfvo type="num" val="23"/>
        <cfvo type="num" val="28"/>
        <cfvo type="num" val="30"/>
        <color rgb="FF63BE7B"/>
        <color rgb="FFFFEB84"/>
        <color rgb="FFF8696B"/>
      </colorScale>
    </cfRule>
  </conditionalFormatting>
  <conditionalFormatting sqref="BP1:BP1048576">
    <cfRule type="iconSet" priority="369">
      <iconSet iconSet="4Arrows" reverse="1">
        <cfvo type="percent" val="0"/>
        <cfvo type="percent" val="25"/>
        <cfvo type="percent" val="50"/>
        <cfvo type="percent" val="75"/>
      </iconSet>
    </cfRule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:BB1048576">
    <cfRule type="iconSet" priority="29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444">
      <colorScale>
        <cfvo type="min"/>
        <cfvo type="max"/>
        <color rgb="FFFCFCFF"/>
        <color rgb="FFF8696B"/>
      </colorScale>
    </cfRule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:CI1048576">
    <cfRule type="colorScale" priority="491">
      <colorScale>
        <cfvo type="min"/>
        <cfvo type="max"/>
        <color rgb="FFFFEF9C"/>
        <color rgb="FF63BE7B"/>
      </colorScale>
    </cfRule>
    <cfRule type="colorScale" priority="7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318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338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Q1:BQ10485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368">
      <iconSet iconSet="3Arrows" reverse="1">
        <cfvo type="percent" val="0"/>
        <cfvo type="percent" val="33"/>
        <cfvo type="percent" val="67"/>
      </iconSet>
    </cfRule>
  </conditionalFormatting>
  <conditionalFormatting sqref="AZ1:BA1048576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2:CS1048576"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3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iconSet" priority="2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iconSet" priority="29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BA1048576">
    <cfRule type="colorScale" priority="81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966">
      <colorScale>
        <cfvo type="min"/>
        <cfvo type="max"/>
        <color rgb="FFFFEF9C"/>
        <color rgb="FF63BE7B"/>
      </colorScale>
    </cfRule>
  </conditionalFormatting>
  <conditionalFormatting sqref="CT2:CT1048576">
    <cfRule type="colorScale" priority="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"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">
    <cfRule type="colorScale" priority="6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S1">
    <cfRule type="colorScale" priority="6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S1">
    <cfRule type="colorScale" priority="6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iconSet" priority="30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S1048576"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5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:AL1048576"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ntainsText" dxfId="3" priority="218" operator="containsText" text="Sem Data Final">
      <formula>NOT(ISERROR(SEARCH("Sem Data Final",G1)))</formula>
    </cfRule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048576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Q1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Q1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Q1 CP2:CP1048576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2:CQ1048576"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iconSet" priority="312">
      <iconSet iconSet="4Arrows">
        <cfvo type="percent" val="0"/>
        <cfvo type="percent" val="25"/>
        <cfvo type="percent" val="50"/>
        <cfvo type="percent" val="75"/>
      </iconSet>
    </cfRule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1:CQ1048576">
    <cfRule type="iconSet" priority="3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31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iconSet" priority="3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30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"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V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V1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dataBar" priority="2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{A8559071-2C01-44D9-8EAE-178E70C948D7}</x14:id>
        </ext>
      </extLst>
    </cfRule>
    <cfRule type="colorScale" priority="34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dataBar" priority="2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{3B9912E0-EBAC-4EFF-A597-E0617888639F}</x14:id>
        </ext>
      </extLst>
    </cfRule>
    <cfRule type="colorScale" priority="348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dataBar" priority="2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{6E4B09BB-34F0-4CE5-B5A0-A172D6E53BBD}</x14:id>
        </ext>
      </extLst>
    </cfRule>
    <cfRule type="colorScale" priority="349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dataBar" priority="28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{1D2A42BB-2BB3-4629-A922-97A4C8DFC0E2}</x14:id>
        </ext>
      </extLst>
    </cfRule>
    <cfRule type="colorScale" priority="35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R1:AR1048576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{398FC3BC-5496-48CE-9ECD-55E6BB111478}</x14:id>
        </ext>
      </extLst>
    </cfRule>
    <cfRule type="colorScale" priority="351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8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4">
      <colorScale>
        <cfvo type="num" val="-1.0000000000000001E-5"/>
        <cfvo type="num" val="0"/>
        <cfvo type="max"/>
        <color rgb="FFF8696B"/>
        <color theme="8" tint="0.79998168889431442"/>
        <color rgb="FF00B0F0"/>
      </colorScale>
    </cfRule>
  </conditionalFormatting>
  <conditionalFormatting sqref="BQ1:BQ1048576">
    <cfRule type="colorScale" priority="627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3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AZ1048576"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iconSet" priority="337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:I1048576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:CV1048576">
    <cfRule type="iconSet" priority="27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W1:CW1048576">
    <cfRule type="iconSet" priority="2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iconSet" priority="27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Y1:CY1048576">
    <cfRule type="iconSet" priority="27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Z1:CZ1048576">
    <cfRule type="iconSet" priority="27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iconSet" priority="27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">
    <cfRule type="iconSet" priority="25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59">
      <colorScale>
        <cfvo type="min"/>
        <cfvo type="max"/>
        <color rgb="FFFCFCFF"/>
        <color rgb="FFF8696B"/>
      </colorScale>
    </cfRule>
  </conditionalFormatting>
  <conditionalFormatting sqref="DC1:DC1048576">
    <cfRule type="iconSet" priority="25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57">
      <colorScale>
        <cfvo type="min"/>
        <cfvo type="max"/>
        <color rgb="FFFCFCFF"/>
        <color rgb="FFF8696B"/>
      </colorScale>
    </cfRule>
  </conditionalFormatting>
  <conditionalFormatting sqref="S1:S1048576">
    <cfRule type="iconSet" priority="241">
      <iconSet iconSet="3ArrowsGray">
        <cfvo type="percent" val="0"/>
        <cfvo type="percent" val="33"/>
        <cfvo type="percent" val="67"/>
      </iconSet>
    </cfRule>
    <cfRule type="colorScale" priority="244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T1:T1048576">
    <cfRule type="iconSet" priority="240">
      <iconSet iconSet="3ArrowsGray" reverse="1">
        <cfvo type="percent" val="0"/>
        <cfvo type="percent" val="33"/>
        <cfvo type="percent" val="67"/>
      </iconSet>
    </cfRule>
    <cfRule type="colorScale" priority="243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</conditionalFormatting>
  <conditionalFormatting sqref="U1:U1048576">
    <cfRule type="iconSet" priority="239">
      <iconSet iconSet="3ArrowsGray">
        <cfvo type="percent" val="0"/>
        <cfvo type="percent" val="33"/>
        <cfvo type="percent" val="67"/>
      </iconSet>
    </cfRule>
    <cfRule type="colorScale" priority="24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DE1:DE1048576">
    <cfRule type="iconSet" priority="2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8">
      <colorScale>
        <cfvo type="min"/>
        <cfvo type="percentile" val="50"/>
        <cfvo type="max"/>
        <color rgb="FFF8696B"/>
        <color theme="8" tint="0.79998168889431442"/>
        <color rgb="FF00B0F0"/>
      </colorScale>
    </cfRule>
  </conditionalFormatting>
  <conditionalFormatting sqref="DF1:DF1048576">
    <cfRule type="colorScale" priority="235">
      <colorScale>
        <cfvo type="min"/>
        <cfvo type="percentile" val="50"/>
        <cfvo type="max"/>
        <color rgb="FFF8696B"/>
        <color theme="8" tint="0.39997558519241921"/>
        <color rgb="FF00B0F0"/>
      </colorScale>
    </cfRule>
    <cfRule type="iconSet" priority="236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P1:P1048576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19">
      <colorScale>
        <cfvo type="min"/>
        <cfvo type="max"/>
        <color rgb="FFFFEF9C"/>
        <color rgb="FF63BE7B"/>
      </colorScale>
    </cfRule>
  </conditionalFormatting>
  <conditionalFormatting sqref="J1:J1048576">
    <cfRule type="containsText" dxfId="2" priority="217" operator="containsText" text="Desconhecido">
      <formula>NOT(ISERROR(SEARCH("Desconhecido",J1)))</formula>
    </cfRule>
  </conditionalFormatting>
  <conditionalFormatting sqref="DI1:DI1048576">
    <cfRule type="iconSet" priority="89">
      <iconSet iconSet="3Arrows">
        <cfvo type="percent" val="0"/>
        <cfvo type="num" val="6.7"/>
        <cfvo type="num" val="7"/>
      </iconSet>
    </cfRule>
    <cfRule type="colorScale" priority="215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DD1:DD1048576">
    <cfRule type="iconSet" priority="212">
      <iconSet iconSet="3ArrowsGray" reverse="1">
        <cfvo type="percent" val="0"/>
        <cfvo type="percent" val="33"/>
        <cfvo type="percent" val="67"/>
      </iconSet>
    </cfRule>
    <cfRule type="colorScale" priority="213">
      <colorScale>
        <cfvo type="min"/>
        <cfvo type="max"/>
        <color rgb="FFFCFCFF"/>
        <color rgb="FFF8696B"/>
      </colorScale>
    </cfRule>
  </conditionalFormatting>
  <conditionalFormatting sqref="AE1:AE1048576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iconSet" priority="191">
      <iconSet iconSet="3Arrows">
        <cfvo type="percent" val="0"/>
        <cfvo type="percent" val="33"/>
        <cfvo type="percent" val="67"/>
      </iconSet>
    </cfRule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iconSet" priority="190">
      <iconSet iconSet="3Arrows">
        <cfvo type="percent" val="0"/>
        <cfvo type="percent" val="33"/>
        <cfvo type="percent" val="67"/>
      </iconSet>
    </cfRule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iconSet" priority="189">
      <iconSet iconSet="3Arrows">
        <cfvo type="percent" val="0"/>
        <cfvo type="percent" val="33"/>
        <cfvo type="percent" val="67"/>
      </iconSet>
    </cfRule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193">
      <iconSet iconSet="3Arrows">
        <cfvo type="percent" val="0"/>
        <cfvo type="percent" val="33"/>
        <cfvo type="percent" val="67"/>
      </iconSet>
    </cfRule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iconSet" priority="192">
      <iconSet iconSet="3Arrows">
        <cfvo type="percent" val="0"/>
        <cfvo type="percent" val="33"/>
        <cfvo type="percent" val="67"/>
      </iconSet>
    </cfRule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iconSet" priority="169">
      <iconSet iconSet="3ArrowsGray" reverse="1">
        <cfvo type="percent" val="0"/>
        <cfvo type="percent" val="33"/>
        <cfvo type="percent" val="67"/>
      </iconSet>
    </cfRule>
    <cfRule type="colorScale" priority="170">
      <colorScale>
        <cfvo type="min"/>
        <cfvo type="max"/>
        <color rgb="FFFCFCFF"/>
        <color rgb="FFF8696B"/>
      </colorScale>
    </cfRule>
  </conditionalFormatting>
  <conditionalFormatting sqref="BJ1:BJ1048576">
    <cfRule type="iconSet" priority="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iconSet" priority="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iconSet" priority="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iconSet" priority="127">
      <iconSet iconSet="3Arrows" reverse="1">
        <cfvo type="percent" val="0"/>
        <cfvo type="percent" val="33"/>
        <cfvo type="percent" val="67"/>
      </iconSet>
    </cfRule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:CC1048576">
    <cfRule type="iconSet" priority="126">
      <iconSet iconSet="3Arrows" reverse="1">
        <cfvo type="percent" val="0"/>
        <cfvo type="percent" val="33"/>
        <cfvo type="percent" val="67"/>
      </iconSet>
    </cfRule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1:CD1048576">
    <cfRule type="iconSet" priority="12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120">
      <colorScale>
        <cfvo type="min"/>
        <cfvo type="max"/>
        <color rgb="FFFCFCFF"/>
        <color rgb="FFF8696B"/>
      </colorScale>
    </cfRule>
  </conditionalFormatting>
  <conditionalFormatting sqref="BS1:BS1048576">
    <cfRule type="iconSet" priority="8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9">
      <colorScale>
        <cfvo type="num" val="-1.0000000000000001E-5"/>
        <cfvo type="num" val="0"/>
        <cfvo type="max"/>
        <color rgb="FFF8696B"/>
        <color theme="4" tint="0.79998168889431442"/>
        <color rgb="FF00B0F0"/>
      </colorScale>
    </cfRule>
  </conditionalFormatting>
  <conditionalFormatting sqref="BL1:BL1048576">
    <cfRule type="iconSet" priority="102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1:BM1048576">
    <cfRule type="iconSet" priority="8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colorScale" priority="101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BO1:BO1048576">
    <cfRule type="dataBar" priority="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{C86BE21A-C584-4370-89B1-6A1535BCF06A}</x14:id>
        </ext>
      </extLst>
    </cfRule>
    <cfRule type="colorScale" priority="91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L1:CL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K1:CK1048576">
    <cfRule type="iconSet" priority="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M1:CM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6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N1:CN1048576">
    <cfRule type="iconSet" priority="6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5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CO1:CO104857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dataBar" priority="57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{1493CFCD-0790-4FD3-A8E5-9E185B3F373F}</x14:id>
        </ext>
      </extLst>
    </cfRule>
    <cfRule type="colorScale" priority="59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X1:AX1048576">
    <cfRule type="dataBar" priority="5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{E6B6B866-5D6E-4392-B419-E248552EB235}</x14:id>
        </ext>
      </extLst>
    </cfRule>
    <cfRule type="colorScale" priority="58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CJ1:CJ10485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G1048576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{500CE4EC-1C96-47A0-A55A-A81E4C4898D6}</x14:id>
        </ext>
      </extLst>
    </cfRule>
  </conditionalFormatting>
  <conditionalFormatting sqref="DH1:DH1048576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{F63AD596-DA73-4BB7-B99F-9AA81CECC6A1}</x14:id>
        </ext>
      </extLst>
    </cfRule>
  </conditionalFormatting>
  <conditionalFormatting sqref="AP1:AP104857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{71062AEF-5024-4FC4-B4A7-62CBE8B5C620}</x14:id>
        </ext>
      </extLst>
    </cfRule>
    <cfRule type="colorScale" priority="42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Q1:AQ1048576">
    <cfRule type="colorScale" priority="39">
      <colorScale>
        <cfvo type="min"/>
        <cfvo type="percentile" val="50"/>
        <cfvo type="max"/>
        <color rgb="FFF8696B"/>
        <color rgb="FFDDEBF7"/>
        <color rgb="FF00B0F0"/>
      </colorScale>
    </cfRule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{53F1178E-73AF-4844-8A71-137EF38EE87E}</x14:id>
        </ext>
      </extLst>
    </cfRule>
  </conditionalFormatting>
  <conditionalFormatting sqref="X1:X1048576">
    <cfRule type="dataBar" priority="38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{616CDD5A-108D-4DA4-B0D0-2E8B1EAD6A25}</x14:id>
        </ext>
      </extLst>
    </cfRule>
  </conditionalFormatting>
  <conditionalFormatting sqref="AB1:AB104857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{B074AD81-C359-4C55-A88E-0F8727A25403}</x14:id>
        </ext>
      </extLst>
    </cfRule>
  </conditionalFormatting>
  <conditionalFormatting sqref="AC1:AC104857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{27F63595-0215-4BD8-A0DE-C219D91963C3}</x14:id>
        </ext>
      </extLst>
    </cfRule>
  </conditionalFormatting>
  <conditionalFormatting sqref="AD1:AD1048576">
    <cfRule type="dataBar" priority="35">
      <dataBar>
        <cfvo type="min"/>
        <cfvo type="max"/>
        <color rgb="FF9E0000"/>
      </dataBar>
      <extLst>
        <ext xmlns:x14="http://schemas.microsoft.com/office/spreadsheetml/2009/9/main" uri="{B025F937-C7B1-47D3-B67F-A62EFF666E3E}">
          <x14:id>{291E76D7-B0DD-4149-B428-ED4838A99F09}</x14:id>
        </ext>
      </extLst>
    </cfRule>
  </conditionalFormatting>
  <conditionalFormatting sqref="AA1:AA1048576">
    <cfRule type="dataBar" priority="3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{71C64141-8B4B-4B90-9526-9B8A9F88AA13}</x14:id>
        </ext>
      </extLst>
    </cfRule>
  </conditionalFormatting>
  <conditionalFormatting sqref="F1:F1048576">
    <cfRule type="colorScale" priority="32">
      <colorScale>
        <cfvo type="min"/>
        <cfvo type="max"/>
        <color rgb="FFFFEF9C"/>
        <color rgb="FF63BE7B"/>
      </colorScale>
    </cfRule>
  </conditionalFormatting>
  <conditionalFormatting sqref="V1:V1048576">
    <cfRule type="dataBar" priority="3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{59DB5919-548F-4D20-AE1A-A695D3603D38}</x14:id>
        </ext>
      </extLst>
    </cfRule>
  </conditionalFormatting>
  <conditionalFormatting sqref="Z1:Z1048576">
    <cfRule type="dataBar" priority="29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{9EDDC49C-E254-42AD-A792-0966907C20D3}</x14:id>
        </ext>
      </extLst>
    </cfRule>
    <cfRule type="iconSet" priority="3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W1:W1048576">
    <cfRule type="dataBar" priority="2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{08793D9A-8218-429A-AC74-97F285D6F012}</x14:id>
        </ext>
      </extLst>
    </cfRule>
  </conditionalFormatting>
  <conditionalFormatting sqref="Y1:Y1048576">
    <cfRule type="dataBar" priority="2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{DA1AADAF-1ED1-4FC2-849B-BD83A048A890}</x14:id>
        </ext>
      </extLst>
    </cfRule>
  </conditionalFormatting>
  <conditionalFormatting sqref="AN1:AN1048576">
    <cfRule type="dataBar" priority="2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{83B4B4EE-05C9-4ACE-82BF-DDDB51D78264}</x14:id>
        </ext>
      </extLst>
    </cfRule>
  </conditionalFormatting>
  <conditionalFormatting sqref="AO1:AO1048576">
    <cfRule type="dataBar" priority="2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{E884251E-F0BF-43DE-9246-DAD033DBCC0A}</x14:id>
        </ext>
      </extLst>
    </cfRule>
  </conditionalFormatting>
  <conditionalFormatting sqref="CH1:CH1048576">
    <cfRule type="iconSet" priority="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E1:CE1048576">
    <cfRule type="dataBar" priority="13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{929970D7-4CA4-408D-9F72-991773F48890}</x14:id>
        </ext>
      </extLst>
    </cfRule>
  </conditionalFormatting>
  <conditionalFormatting sqref="CF1:CF1048576">
    <cfRule type="dataBar" priority="12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{F96BA66A-7716-45FA-AC7A-218AA15AFB63}</x14:id>
        </ext>
      </extLst>
    </cfRule>
  </conditionalFormatting>
  <conditionalFormatting sqref="CG1:CG1048576">
    <cfRule type="dataBar" priority="11">
      <dataBar>
        <cfvo type="min"/>
        <cfvo type="max"/>
        <color rgb="FF2F5281"/>
      </dataBar>
      <extLst>
        <ext xmlns:x14="http://schemas.microsoft.com/office/spreadsheetml/2009/9/main" uri="{B025F937-C7B1-47D3-B67F-A62EFF666E3E}">
          <x14:id>{F171C1FE-C031-4961-8008-89926F589704}</x14:id>
        </ext>
      </extLst>
    </cfRule>
  </conditionalFormatting>
  <conditionalFormatting sqref="BX1:BX1048576">
    <cfRule type="iconSet" priority="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iconSet" priority="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iconSet" priority="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">
      <colorScale>
        <cfvo type="min"/>
        <cfvo type="max"/>
        <color rgb="FFFDD7D8"/>
        <color rgb="FFF8696B"/>
      </colorScale>
    </cfRule>
  </conditionalFormatting>
  <conditionalFormatting sqref="BW1:BW1048576">
    <cfRule type="iconSet" priority="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">
      <colorScale>
        <cfvo type="min"/>
        <cfvo type="max"/>
        <color rgb="FFFDD7D8"/>
        <color rgb="FFF8696B"/>
      </colorScale>
    </cfRule>
  </conditionalFormatting>
  <conditionalFormatting sqref="CI2:CI11">
    <cfRule type="colorScale" priority="2632828">
      <colorScale>
        <cfvo type="min"/>
        <cfvo type="max"/>
        <color rgb="FFFFEF9C"/>
        <color rgb="FF63BE7B"/>
      </colorScale>
    </cfRule>
  </conditionalFormatting>
  <conditionalFormatting sqref="G2:G11">
    <cfRule type="colorScale" priority="2632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1">
    <cfRule type="colorScale" priority="26328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Q2:CQ11">
    <cfRule type="colorScale" priority="2632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1">
    <cfRule type="iconSet" priority="26328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32833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2:O11">
    <cfRule type="dataBar" priority="26328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{F365465D-6539-4357-B48D-9E53260D4998}</x14:id>
        </ext>
      </extLst>
    </cfRule>
    <cfRule type="colorScale" priority="26328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1">
    <cfRule type="colorScale" priority="2632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559071-2C01-44D9-8EAE-178E70C948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3B9912E0-EBAC-4EFF-A597-E0617888639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6E4B09BB-34F0-4CE5-B5A0-A172D6E53B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1D2A42BB-2BB3-4629-A922-97A4C8DFC0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398FC3BC-5496-48CE-9ECD-55E6BB1114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C86BE21A-C584-4370-89B1-6A1535BCF0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BO1:BO1048576</xm:sqref>
        </x14:conditionalFormatting>
        <x14:conditionalFormatting xmlns:xm="http://schemas.microsoft.com/office/excel/2006/main">
          <x14:cfRule type="dataBar" id="{1493CFCD-0790-4FD3-A8E5-9E185B3F37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E6B6B866-5D6E-4392-B419-E248552EB2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500CE4EC-1C96-47A0-A55A-A81E4C4898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DG1:DG1048576</xm:sqref>
        </x14:conditionalFormatting>
        <x14:conditionalFormatting xmlns:xm="http://schemas.microsoft.com/office/excel/2006/main">
          <x14:cfRule type="dataBar" id="{F63AD596-DA73-4BB7-B99F-9AA81CECC6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DH1:DH1048576</xm:sqref>
        </x14:conditionalFormatting>
        <x14:conditionalFormatting xmlns:xm="http://schemas.microsoft.com/office/excel/2006/main">
          <x14:cfRule type="dataBar" id="{71062AEF-5024-4FC4-B4A7-62CBE8B5C6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AP1:AP1048576</xm:sqref>
        </x14:conditionalFormatting>
        <x14:conditionalFormatting xmlns:xm="http://schemas.microsoft.com/office/excel/2006/main">
          <x14:cfRule type="dataBar" id="{53F1178E-73AF-4844-8A71-137EF38EE8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AQ1:AQ1048576</xm:sqref>
        </x14:conditionalFormatting>
        <x14:conditionalFormatting xmlns:xm="http://schemas.microsoft.com/office/excel/2006/main">
          <x14:cfRule type="dataBar" id="{616CDD5A-108D-4DA4-B0D0-2E8B1EAD6A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B074AD81-C359-4C55-A88E-0F8727A254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27F63595-0215-4BD8-A0DE-C219D91963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291E76D7-B0DD-4149-B428-ED4838A99F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dataBar" id="{71C64141-8B4B-4B90-9526-9B8A9F88AA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59DB5919-548F-4D20-AE1A-A695D3603D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9EDDC49C-E254-42AD-A792-0966907C20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08793D9A-8218-429A-AC74-97F285D6F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DA1AADAF-1ED1-4FC2-849B-BD83A048A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83B4B4EE-05C9-4ACE-82BF-DDDB51D782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AN1:AN1048576</xm:sqref>
        </x14:conditionalFormatting>
        <x14:conditionalFormatting xmlns:xm="http://schemas.microsoft.com/office/excel/2006/main">
          <x14:cfRule type="dataBar" id="{E884251E-F0BF-43DE-9246-DAD033DBCC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929970D7-4CA4-408D-9F72-991773F488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CE1:CE1048576</xm:sqref>
        </x14:conditionalFormatting>
        <x14:conditionalFormatting xmlns:xm="http://schemas.microsoft.com/office/excel/2006/main">
          <x14:cfRule type="dataBar" id="{F96BA66A-7716-45FA-AC7A-218AA15AFB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CF1:CF1048576</xm:sqref>
        </x14:conditionalFormatting>
        <x14:conditionalFormatting xmlns:xm="http://schemas.microsoft.com/office/excel/2006/main">
          <x14:cfRule type="dataBar" id="{F171C1FE-C031-4961-8008-89926F5897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F365465D-6539-4357-B48D-9E53260D49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O2:O11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rgb="FFFF9393"/>
  </sheetPr>
  <dimension ref="A1:GJ1001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19.28515625" customWidth="1"/>
    <col min="5" max="5" width="23.5703125" customWidth="1"/>
    <col min="6" max="6" width="16.28515625" customWidth="1"/>
    <col min="7" max="7" width="18.28515625" customWidth="1"/>
    <col min="8" max="8" width="15.7109375" style="13" customWidth="1"/>
    <col min="9" max="9" width="19.85546875" style="13" customWidth="1"/>
    <col min="10" max="10" width="22.140625" style="187" customWidth="1"/>
    <col min="11" max="11" width="11.140625" customWidth="1"/>
    <col min="12" max="17" width="18.7109375" customWidth="1"/>
    <col min="18" max="23" width="18.7109375" style="13" customWidth="1"/>
    <col min="24" max="28" width="18.7109375" customWidth="1"/>
    <col min="29" max="29" width="18.7109375" style="13" customWidth="1"/>
    <col min="30" max="36" width="18.7109375" customWidth="1"/>
    <col min="37" max="42" width="18.7109375" style="13" customWidth="1"/>
    <col min="43" max="43" width="18.7109375" style="331" customWidth="1"/>
    <col min="44" max="44" width="18.7109375" style="13" customWidth="1"/>
    <col min="45" max="45" width="18.7109375" style="331" customWidth="1"/>
    <col min="46" max="47" width="20.5703125" style="13" customWidth="1"/>
    <col min="48" max="51" width="18.7109375" style="13" customWidth="1"/>
    <col min="52" max="52" width="18.85546875" style="13" customWidth="1"/>
    <col min="53" max="74" width="18.7109375" customWidth="1"/>
    <col min="75" max="75" width="18.7109375" style="13" customWidth="1"/>
    <col min="76" max="85" width="18.7109375" customWidth="1"/>
    <col min="86" max="95" width="18.7109375" style="13" customWidth="1"/>
    <col min="96" max="142" width="18.7109375" customWidth="1"/>
    <col min="143" max="143" width="8.7109375" customWidth="1"/>
    <col min="144" max="149" width="11.7109375" customWidth="1"/>
    <col min="150" max="150" width="11.7109375" style="1" customWidth="1"/>
    <col min="151" max="151" width="11.7109375" style="150" customWidth="1"/>
    <col min="152" max="152" width="11.7109375" customWidth="1"/>
    <col min="153" max="153" width="11.7109375" style="1" customWidth="1"/>
    <col min="154" max="154" width="11.7109375" style="150" customWidth="1"/>
    <col min="155" max="192" width="11.7109375" style="1" customWidth="1"/>
    <col min="198" max="198" width="10.42578125" bestFit="1" customWidth="1"/>
  </cols>
  <sheetData>
    <row r="1" spans="1:192" ht="50.1" customHeight="1" thickBot="1" x14ac:dyDescent="0.3">
      <c r="A1" s="112"/>
      <c r="B1" s="4" t="s">
        <v>20</v>
      </c>
      <c r="C1" s="4" t="s">
        <v>212</v>
      </c>
      <c r="D1" s="94" t="s">
        <v>230</v>
      </c>
      <c r="E1" s="4" t="s">
        <v>28</v>
      </c>
      <c r="F1" s="4" t="s">
        <v>29</v>
      </c>
      <c r="G1" s="4" t="s">
        <v>87</v>
      </c>
      <c r="H1" s="4" t="s">
        <v>1</v>
      </c>
      <c r="I1" s="85" t="s">
        <v>3</v>
      </c>
      <c r="J1" s="4" t="s">
        <v>2</v>
      </c>
      <c r="K1" s="4" t="s">
        <v>229</v>
      </c>
      <c r="L1" s="30" t="s">
        <v>119</v>
      </c>
      <c r="M1" s="30" t="s">
        <v>415</v>
      </c>
      <c r="N1" s="30" t="s">
        <v>416</v>
      </c>
      <c r="O1" s="30" t="s">
        <v>419</v>
      </c>
      <c r="P1" s="30" t="s">
        <v>121</v>
      </c>
      <c r="Q1" s="30" t="s">
        <v>117</v>
      </c>
      <c r="R1" s="31" t="s">
        <v>55</v>
      </c>
      <c r="S1" s="31" t="s">
        <v>125</v>
      </c>
      <c r="T1" s="31" t="s">
        <v>126</v>
      </c>
      <c r="U1" s="98" t="s">
        <v>38</v>
      </c>
      <c r="V1" s="98" t="s">
        <v>412</v>
      </c>
      <c r="W1" s="98" t="s">
        <v>411</v>
      </c>
      <c r="X1" s="221" t="s">
        <v>22</v>
      </c>
      <c r="Y1" s="221" t="s">
        <v>24</v>
      </c>
      <c r="Z1" s="221" t="s">
        <v>66</v>
      </c>
      <c r="AA1" s="221" t="s">
        <v>633</v>
      </c>
      <c r="AB1" s="221" t="s">
        <v>316</v>
      </c>
      <c r="AC1" s="221" t="s">
        <v>240</v>
      </c>
      <c r="AD1" s="221" t="s">
        <v>552</v>
      </c>
      <c r="AE1" s="215" t="s">
        <v>122</v>
      </c>
      <c r="AF1" s="215" t="s">
        <v>123</v>
      </c>
      <c r="AG1" s="215" t="s">
        <v>124</v>
      </c>
      <c r="AH1" s="215" t="s">
        <v>314</v>
      </c>
      <c r="AI1" s="215" t="s">
        <v>315</v>
      </c>
      <c r="AJ1" s="215" t="s">
        <v>564</v>
      </c>
      <c r="AK1" s="216" t="s">
        <v>553</v>
      </c>
      <c r="AL1" s="140" t="s">
        <v>434</v>
      </c>
      <c r="AM1" s="140" t="s">
        <v>432</v>
      </c>
      <c r="AN1" s="140" t="s">
        <v>433</v>
      </c>
      <c r="AO1" s="140" t="s">
        <v>317</v>
      </c>
      <c r="AP1" s="104" t="s">
        <v>622</v>
      </c>
      <c r="AQ1" s="330" t="s">
        <v>624</v>
      </c>
      <c r="AR1" s="104" t="s">
        <v>620</v>
      </c>
      <c r="AS1" s="330" t="s">
        <v>625</v>
      </c>
      <c r="AT1" s="104" t="s">
        <v>623</v>
      </c>
      <c r="AU1" s="104" t="s">
        <v>621</v>
      </c>
      <c r="AV1" s="104" t="s">
        <v>239</v>
      </c>
      <c r="AW1" s="104" t="s">
        <v>236</v>
      </c>
      <c r="AX1" s="105" t="s">
        <v>237</v>
      </c>
      <c r="AY1" s="104" t="s">
        <v>318</v>
      </c>
      <c r="AZ1" s="104" t="s">
        <v>238</v>
      </c>
      <c r="BA1" s="73" t="s">
        <v>56</v>
      </c>
      <c r="BB1" s="73" t="s">
        <v>57</v>
      </c>
      <c r="BC1" s="73" t="s">
        <v>157</v>
      </c>
      <c r="BD1" s="73" t="s">
        <v>147</v>
      </c>
      <c r="BE1" s="73" t="s">
        <v>58</v>
      </c>
      <c r="BF1" s="87" t="s">
        <v>60</v>
      </c>
      <c r="BG1" s="87" t="s">
        <v>59</v>
      </c>
      <c r="BH1" s="352" t="s">
        <v>631</v>
      </c>
      <c r="BI1" s="352" t="s">
        <v>632</v>
      </c>
      <c r="BJ1" s="41" t="s">
        <v>779</v>
      </c>
      <c r="BK1" s="41" t="s">
        <v>327</v>
      </c>
      <c r="BL1" s="379" t="s">
        <v>778</v>
      </c>
      <c r="BM1" s="379" t="s">
        <v>777</v>
      </c>
      <c r="BN1" s="41" t="s">
        <v>326</v>
      </c>
      <c r="BO1" s="41" t="s">
        <v>431</v>
      </c>
      <c r="BP1" s="383" t="s">
        <v>787</v>
      </c>
      <c r="BQ1" s="383" t="s">
        <v>788</v>
      </c>
      <c r="BR1" s="391" t="s">
        <v>789</v>
      </c>
      <c r="BS1" s="40" t="s">
        <v>61</v>
      </c>
      <c r="BT1" s="40" t="s">
        <v>85</v>
      </c>
      <c r="BU1" s="40" t="s">
        <v>215</v>
      </c>
      <c r="BV1" s="171" t="s">
        <v>394</v>
      </c>
      <c r="BW1" s="46" t="s">
        <v>465</v>
      </c>
      <c r="BX1" s="33" t="s">
        <v>115</v>
      </c>
      <c r="BY1" s="33" t="s">
        <v>349</v>
      </c>
      <c r="BZ1" s="33" t="s">
        <v>350</v>
      </c>
      <c r="CA1" s="33" t="s">
        <v>114</v>
      </c>
      <c r="CB1" s="4" t="s">
        <v>366</v>
      </c>
      <c r="CC1" s="4" t="s">
        <v>384</v>
      </c>
      <c r="CD1" s="277" t="s">
        <v>476</v>
      </c>
      <c r="CE1" s="277" t="s">
        <v>475</v>
      </c>
      <c r="CF1" s="151" t="s">
        <v>62</v>
      </c>
      <c r="CG1" s="151" t="s">
        <v>471</v>
      </c>
      <c r="CH1" s="46" t="s">
        <v>328</v>
      </c>
      <c r="CI1" s="46" t="s">
        <v>329</v>
      </c>
      <c r="CJ1" s="46" t="s">
        <v>330</v>
      </c>
      <c r="CK1" s="46" t="s">
        <v>331</v>
      </c>
      <c r="CL1" s="46" t="s">
        <v>332</v>
      </c>
      <c r="CM1" s="46" t="s">
        <v>333</v>
      </c>
      <c r="CN1" s="46" t="s">
        <v>352</v>
      </c>
      <c r="CO1" s="46" t="s">
        <v>325</v>
      </c>
      <c r="CP1" s="46" t="s">
        <v>532</v>
      </c>
      <c r="CQ1" s="32" t="s">
        <v>428</v>
      </c>
      <c r="CR1" s="32" t="s">
        <v>106</v>
      </c>
      <c r="CS1" s="32" t="s">
        <v>324</v>
      </c>
      <c r="CT1" s="32" t="s">
        <v>108</v>
      </c>
      <c r="CU1" s="4" t="s">
        <v>385</v>
      </c>
      <c r="CV1" s="4" t="s">
        <v>477</v>
      </c>
      <c r="CW1" s="4" t="s">
        <v>138</v>
      </c>
      <c r="CX1" s="4" t="s">
        <v>478</v>
      </c>
      <c r="CY1" s="4" t="s">
        <v>47</v>
      </c>
      <c r="CZ1" s="342" t="s">
        <v>91</v>
      </c>
      <c r="DA1" s="342" t="s">
        <v>169</v>
      </c>
      <c r="DB1" s="322" t="s">
        <v>425</v>
      </c>
      <c r="DC1" s="4" t="s">
        <v>369</v>
      </c>
      <c r="DD1" s="4" t="s">
        <v>371</v>
      </c>
      <c r="DE1" s="4" t="s">
        <v>370</v>
      </c>
      <c r="DF1" s="4" t="s">
        <v>373</v>
      </c>
      <c r="DG1" s="4" t="s">
        <v>372</v>
      </c>
      <c r="DH1" s="94" t="s">
        <v>334</v>
      </c>
      <c r="DI1" s="160" t="s">
        <v>42</v>
      </c>
      <c r="DJ1" s="37" t="s">
        <v>321</v>
      </c>
      <c r="DK1" s="37" t="s">
        <v>322</v>
      </c>
      <c r="DL1" s="40" t="s">
        <v>18</v>
      </c>
      <c r="DM1" s="40" t="s">
        <v>80</v>
      </c>
      <c r="DN1" s="40" t="s">
        <v>426</v>
      </c>
      <c r="DO1" s="40" t="s">
        <v>175</v>
      </c>
      <c r="DP1" s="120" t="s">
        <v>452</v>
      </c>
      <c r="DQ1" s="119" t="s">
        <v>488</v>
      </c>
      <c r="DR1" s="119" t="s">
        <v>453</v>
      </c>
      <c r="DS1" s="119" t="s">
        <v>489</v>
      </c>
      <c r="DT1" s="211" t="s">
        <v>455</v>
      </c>
      <c r="DU1" s="211" t="s">
        <v>454</v>
      </c>
      <c r="DV1" s="48" t="s">
        <v>456</v>
      </c>
      <c r="DW1" s="22" t="s">
        <v>246</v>
      </c>
      <c r="DX1" s="22" t="s">
        <v>247</v>
      </c>
      <c r="DY1" s="46" t="s">
        <v>134</v>
      </c>
      <c r="DZ1" s="197" t="s">
        <v>480</v>
      </c>
      <c r="EA1" s="197" t="s">
        <v>481</v>
      </c>
      <c r="EB1" s="197" t="s">
        <v>479</v>
      </c>
      <c r="EC1" s="197" t="s">
        <v>482</v>
      </c>
      <c r="ED1" s="197" t="s">
        <v>483</v>
      </c>
      <c r="EE1" s="46" t="s">
        <v>487</v>
      </c>
      <c r="EF1" s="46" t="s">
        <v>206</v>
      </c>
      <c r="EG1" s="71" t="s">
        <v>158</v>
      </c>
      <c r="EH1" s="46" t="s">
        <v>368</v>
      </c>
      <c r="EI1" s="43" t="s">
        <v>409</v>
      </c>
      <c r="EJ1" s="43" t="s">
        <v>410</v>
      </c>
      <c r="EK1" s="43" t="s">
        <v>178</v>
      </c>
      <c r="EL1" s="110" t="s">
        <v>25</v>
      </c>
      <c r="EM1" s="289" t="s">
        <v>14</v>
      </c>
      <c r="EN1" s="290" t="s">
        <v>584</v>
      </c>
      <c r="EO1" s="290" t="s">
        <v>20</v>
      </c>
      <c r="EP1" s="290" t="s">
        <v>1</v>
      </c>
      <c r="EQ1" s="290" t="s">
        <v>0</v>
      </c>
      <c r="ER1" s="290" t="s">
        <v>29</v>
      </c>
      <c r="ES1" s="290" t="s">
        <v>40</v>
      </c>
      <c r="ET1" s="290" t="s">
        <v>2</v>
      </c>
      <c r="EU1" s="290" t="s">
        <v>3</v>
      </c>
      <c r="EV1" s="290" t="s">
        <v>88</v>
      </c>
      <c r="EW1" s="290" t="s">
        <v>585</v>
      </c>
      <c r="EX1" s="290" t="s">
        <v>608</v>
      </c>
      <c r="EY1" s="290" t="s">
        <v>30</v>
      </c>
      <c r="EZ1" s="290" t="s">
        <v>587</v>
      </c>
      <c r="FA1" s="290" t="s">
        <v>609</v>
      </c>
      <c r="FB1" s="290" t="s">
        <v>610</v>
      </c>
      <c r="FC1" s="290" t="s">
        <v>63</v>
      </c>
      <c r="FD1" s="290" t="s">
        <v>262</v>
      </c>
      <c r="FE1" s="290" t="s">
        <v>4</v>
      </c>
      <c r="FF1" s="290" t="s">
        <v>177</v>
      </c>
      <c r="FG1" s="290" t="s">
        <v>164</v>
      </c>
      <c r="FH1" s="290" t="s">
        <v>603</v>
      </c>
      <c r="FI1" s="290" t="s">
        <v>11</v>
      </c>
      <c r="FJ1" s="290" t="s">
        <v>17</v>
      </c>
      <c r="FK1" s="290" t="s">
        <v>185</v>
      </c>
      <c r="FL1" s="290" t="s">
        <v>15</v>
      </c>
      <c r="FM1" s="290" t="s">
        <v>16</v>
      </c>
      <c r="FN1" s="290" t="s">
        <v>606</v>
      </c>
      <c r="FO1" s="290" t="s">
        <v>605</v>
      </c>
      <c r="FP1" s="290" t="s">
        <v>8</v>
      </c>
      <c r="FQ1" s="290" t="s">
        <v>9</v>
      </c>
      <c r="FR1" s="290" t="s">
        <v>187</v>
      </c>
      <c r="FS1" s="290" t="s">
        <v>188</v>
      </c>
      <c r="FT1" s="290" t="s">
        <v>103</v>
      </c>
      <c r="FU1" s="290" t="s">
        <v>595</v>
      </c>
      <c r="FV1" s="290" t="s">
        <v>48</v>
      </c>
      <c r="FW1" s="290" t="s">
        <v>251</v>
      </c>
      <c r="FX1" s="290" t="s">
        <v>41</v>
      </c>
      <c r="FY1" s="290" t="s">
        <v>234</v>
      </c>
      <c r="FZ1" s="290" t="s">
        <v>49</v>
      </c>
      <c r="GA1" s="290" t="s">
        <v>604</v>
      </c>
      <c r="GB1" s="290" t="s">
        <v>163</v>
      </c>
      <c r="GC1" s="290" t="s">
        <v>611</v>
      </c>
      <c r="GD1" s="290" t="s">
        <v>5</v>
      </c>
      <c r="GE1" s="290" t="s">
        <v>102</v>
      </c>
      <c r="GF1" s="290" t="s">
        <v>18</v>
      </c>
      <c r="GG1" s="291" t="s">
        <v>600</v>
      </c>
      <c r="GH1" s="290" t="s">
        <v>165</v>
      </c>
      <c r="GI1" s="290" t="s">
        <v>18</v>
      </c>
      <c r="GJ1" s="291" t="s">
        <v>600</v>
      </c>
    </row>
    <row r="2" spans="1:192" ht="24.95" customHeight="1" thickBot="1" x14ac:dyDescent="0.3">
      <c r="A2" s="29" t="str">
        <f t="shared" ref="A2:A11" si="0">ROW()-1 &amp; "º"</f>
        <v>1º</v>
      </c>
      <c r="B2" s="69" t="str">
        <f t="shared" ref="B2:B11" si="1">EO2</f>
        <v>Antoine Semenyo</v>
      </c>
      <c r="C2" s="86" t="str">
        <f t="shared" ref="C2:C11" si="2">EN2</f>
        <v>GHA</v>
      </c>
      <c r="D2" s="99" t="str">
        <f t="shared" ref="D2:D11" si="3">ES2</f>
        <v>Pé Direito</v>
      </c>
      <c r="E2" s="28" t="str">
        <f t="shared" ref="E2:E11" si="4">EQ2</f>
        <v>Manchester City</v>
      </c>
      <c r="F2" s="165">
        <f t="shared" ref="F2:F11" si="5">IFERROR(SUBSTITUTE(ER2," cm","")/100,0)</f>
        <v>1.78</v>
      </c>
      <c r="G2" s="148">
        <f t="shared" ref="G2:G11" si="6">IF(EV2="-", "Sem Data Final", EV2)</f>
        <v>48029</v>
      </c>
      <c r="H2" s="167">
        <f t="shared" ref="H2:H11" si="7">EP2</f>
        <v>26</v>
      </c>
      <c r="I2" s="200" t="str">
        <f t="shared" ref="I2:I11" si="8">EU2</f>
        <v>€747m p/m</v>
      </c>
      <c r="J2" s="186" t="str">
        <f t="shared" ref="J2:J11" si="9">ET2</f>
        <v>€46M - €70M</v>
      </c>
      <c r="K2" s="96">
        <f t="shared" ref="K2:K11" si="10">IFERROR(AVERAGE(L:L),0)</f>
        <v>28.532222222222224</v>
      </c>
      <c r="L2" s="144">
        <f t="shared" ref="L2:L11" si="11">IFERROR(EW2/90,0)</f>
        <v>17.144444444444446</v>
      </c>
      <c r="M2" s="144">
        <f t="shared" ref="M2:M11" si="12">IFERROR(IF(ISERROR(FIND("(",EX2)), VALUE(EX2), VALUE(LEFT(EX2,FIND("(",EX2)-2)) + VALUE(MID(EX2,FIND("(",EX2)+1,FIND(")",EX2)-FIND("(",EX2)-1))),0)</f>
        <v>38</v>
      </c>
      <c r="N2" s="144">
        <f t="shared" ref="N2:N11" si="13">IFERROR(EW2/M2,0)</f>
        <v>40.60526315789474</v>
      </c>
      <c r="O2" s="184">
        <f t="shared" ref="O2:O11" si="14">IFERROR(IF(ISERROR(FIND("(",EX2)), "100%", TEXT(VALUE(LEFT(EX2,FIND("(",EX2)-2)) / (VALUE(LEFT(EX2,FIND("(",EX2)-2)) + VALUE(MID(EX2,FIND("(",EX2)+1,FIND(")",EX2)-FIND("(",EX2)-1))),"0%")),0)*1</f>
        <v>0.28999999999999998</v>
      </c>
      <c r="P2" s="2">
        <f t="shared" ref="P2:P11" si="15">FC2</f>
        <v>2</v>
      </c>
      <c r="Q2" s="5">
        <f t="shared" ref="Q2:Q11" si="16">IFERROR(FC2/FD2,0)</f>
        <v>0</v>
      </c>
      <c r="R2" s="5">
        <f t="shared" ref="R2:R11" si="17">IFERROR(EZ2/L2,0)</f>
        <v>0</v>
      </c>
      <c r="S2" s="5">
        <f t="shared" ref="S2:S11" si="18">IFERROR((X2+Y2)/L2,0)</f>
        <v>0.69993519118600123</v>
      </c>
      <c r="T2" s="5">
        <f t="shared" ref="T2:T11" si="19">IFERROR((Y2)/L2,0)</f>
        <v>0.69993519118600123</v>
      </c>
      <c r="U2" s="6">
        <f t="shared" ref="U2:U11" si="20">EY2</f>
        <v>1</v>
      </c>
      <c r="V2" s="24">
        <f t="shared" ref="V2:V11" si="21">IFERROR(EW2/U2,5000)</f>
        <v>1543</v>
      </c>
      <c r="W2" s="21">
        <f t="shared" ref="W2:W11" si="22">IFERROR(U2/L2,0)</f>
        <v>5.832793259883344E-2</v>
      </c>
      <c r="X2" s="2">
        <f t="shared" ref="X2:X11" si="23">EZ2</f>
        <v>0</v>
      </c>
      <c r="Y2" s="2">
        <f t="shared" ref="Y2:Y11" si="24">FA2</f>
        <v>12</v>
      </c>
      <c r="Z2" s="2">
        <f t="shared" ref="Z2:Z11" si="25">IFERROR(X2+Y2,0)</f>
        <v>12</v>
      </c>
      <c r="AA2" s="353">
        <f t="shared" ref="AA2:AA11" si="26">EZ2-GG2-GB2</f>
        <v>-11.129999999999999</v>
      </c>
      <c r="AB2" s="353">
        <f t="shared" ref="AB2:AB11" si="27">GB2</f>
        <v>4.0999999999999996</v>
      </c>
      <c r="AC2" s="354">
        <f t="shared" ref="AC2:AC11" si="28">AW2</f>
        <v>7.03</v>
      </c>
      <c r="AD2" s="6">
        <f t="shared" ref="AD2:AD11" si="29">IFERROR(EZ2-GG2,0)</f>
        <v>-7.03</v>
      </c>
      <c r="AE2" s="20">
        <f t="shared" ref="AE2:AE11" si="30">IFERROR((X2-AC2)/X2,0)</f>
        <v>0</v>
      </c>
      <c r="AF2" s="20">
        <f t="shared" ref="AF2:AF11" si="31">IFERROR(Y2/Z2,0)</f>
        <v>1</v>
      </c>
      <c r="AG2" s="20">
        <f t="shared" ref="AG2:AG11" si="32">IFERROR((AW2*1)/Z2,0)</f>
        <v>0.58583333333333332</v>
      </c>
      <c r="AH2" s="5">
        <f t="shared" ref="AH2:AH11" si="33">IFERROR(X2/L2,0)</f>
        <v>0</v>
      </c>
      <c r="AI2" s="5">
        <f t="shared" ref="AI2:AI11" si="34">IFERROR(Y2/L2,0)</f>
        <v>0.69993519118600123</v>
      </c>
      <c r="AJ2" s="5">
        <f t="shared" ref="AJ2:AJ11" si="35">IFERROR((EZ2+FA2)/L2,0)</f>
        <v>0.69993519118600123</v>
      </c>
      <c r="AK2" s="5">
        <f t="shared" ref="AK2:AK11" si="36">IFERROR(AD2/L2,0)</f>
        <v>-0.41004536616979909</v>
      </c>
      <c r="AL2" s="315">
        <f t="shared" ref="AL2:AL11" si="37">IFERROR(AA2/L2,0)</f>
        <v>-0.64918988982501613</v>
      </c>
      <c r="AM2" s="315">
        <f t="shared" ref="AM2:AM11" si="38">IFERROR(AB2/L2,0)</f>
        <v>0.23914452365521707</v>
      </c>
      <c r="AN2" s="315">
        <f t="shared" ref="AN2:AN11" si="39">GC2</f>
        <v>0</v>
      </c>
      <c r="AO2" s="21">
        <f t="shared" ref="AO2:AO11" si="40">IFERROR((AM2*1)/AN2,0)</f>
        <v>0</v>
      </c>
      <c r="AP2" s="314">
        <f t="shared" ref="AP2:AP11" si="41">FZ2-FX2</f>
        <v>-15</v>
      </c>
      <c r="AQ2" s="315">
        <f t="shared" ref="AQ2:AQ11" si="42">AP2/L2</f>
        <v>-0.87491898898250153</v>
      </c>
      <c r="AR2" s="314">
        <f t="shared" ref="AR2:AR11" si="43">GA2-FY2</f>
        <v>16</v>
      </c>
      <c r="AS2" s="315">
        <f t="shared" ref="AS2:AS11" si="44">AR2/L2</f>
        <v>0.93324692158133504</v>
      </c>
      <c r="AT2" s="318">
        <f t="shared" ref="AT2:AT11" si="45">IFERROR(AR2/AP2,)</f>
        <v>-1.0666666666666667</v>
      </c>
      <c r="AU2" s="326">
        <f t="shared" ref="AU2:AU11" si="46">GD2</f>
        <v>0</v>
      </c>
      <c r="AV2" s="314" t="str">
        <f t="shared" ref="AV2:AV11" si="47">GF2</f>
        <v>202,3 km</v>
      </c>
      <c r="AW2" s="314">
        <f t="shared" ref="AW2:AW11" si="48">GG2</f>
        <v>7.03</v>
      </c>
      <c r="AX2" s="329">
        <f t="shared" ref="AX2:AX11" si="49">IFERROR(GF2-GG2,0)</f>
        <v>0</v>
      </c>
      <c r="AY2" s="315">
        <f t="shared" ref="AY2:AY11" si="50">IFERROR(AW2/L2,0)</f>
        <v>0.41004536616979909</v>
      </c>
      <c r="AZ2" s="20">
        <f t="shared" ref="AZ2:AZ11" si="51">IFERROR((AW2*1)/GF2,0.00001)</f>
        <v>1.0000000000000001E-5</v>
      </c>
      <c r="BA2" s="2">
        <f t="shared" ref="BA2:BA11" si="52">FQ2</f>
        <v>27</v>
      </c>
      <c r="BB2" s="2">
        <f t="shared" ref="BB2:BB11" si="53">FR2</f>
        <v>162</v>
      </c>
      <c r="BC2" s="5">
        <f t="shared" ref="BC2:BC11" si="54">IFERROR(BA2/L2,0)</f>
        <v>1.5748541801685028</v>
      </c>
      <c r="BD2" s="5">
        <f t="shared" ref="BD2:BD11" si="55">IFERROR(BB2/L2,0)</f>
        <v>9.449125081011017</v>
      </c>
      <c r="BE2" s="2">
        <f t="shared" ref="BE2:BE11" si="56">IFERROR(FQ2-FR2,0)</f>
        <v>-135</v>
      </c>
      <c r="BF2" s="107">
        <f t="shared" ref="BF2:BF11" si="57">IFERROR((BB2*1)/BA2,0)</f>
        <v>6</v>
      </c>
      <c r="BG2" s="107">
        <f t="shared" ref="BG2:BG11" si="58">IFERROR(100%-BF2,0)</f>
        <v>-5</v>
      </c>
      <c r="BH2" s="338">
        <f t="shared" ref="BH2:BH11" si="59">GE2</f>
        <v>0</v>
      </c>
      <c r="BI2" s="315">
        <f t="shared" ref="BI2:BI11" si="60">IFERROR(GE2/L2,0)</f>
        <v>0</v>
      </c>
      <c r="BJ2" s="6">
        <f t="shared" ref="BJ2:BJ11" si="61">FO2</f>
        <v>65</v>
      </c>
      <c r="BK2" s="5">
        <f t="shared" ref="BK2:BK11" si="62">IFERROR(BJ2/L2,0)</f>
        <v>3.7913156189241732</v>
      </c>
      <c r="BL2" s="6">
        <f t="shared" ref="BL2:BL11" si="63">FO2-FP2</f>
        <v>5</v>
      </c>
      <c r="BM2" s="5">
        <f t="shared" ref="BM2:BM11" si="64">BL2/L2</f>
        <v>0.29163966299416716</v>
      </c>
      <c r="BN2" s="6">
        <f t="shared" ref="BN2:BN11" si="65">FP2</f>
        <v>60</v>
      </c>
      <c r="BO2" s="5">
        <f t="shared" ref="BO2:BO11" si="66">IFERROR(BN2/L2,0)</f>
        <v>3.4996759559300061</v>
      </c>
      <c r="BP2" s="6">
        <f t="shared" ref="BP2:BP11" si="67">FP2-EZ2</f>
        <v>60</v>
      </c>
      <c r="BQ2" s="5">
        <f t="shared" ref="BQ2:BQ11" si="68">IFERROR(BP2/L2,0)</f>
        <v>3.4996759559300061</v>
      </c>
      <c r="BR2" s="21">
        <f t="shared" ref="BR2:BR11" si="69">IFERROR((FP2*1)/FO2,0)</f>
        <v>0.92307692307692313</v>
      </c>
      <c r="BS2" s="5">
        <f t="shared" ref="BS2:BS11" si="70">IFERROR((FO2-GF2)/(EZ2-GG2),100)</f>
        <v>100</v>
      </c>
      <c r="BT2" s="5">
        <f t="shared" ref="BT2:BT11" si="71">IFERROR((FP2-GF2)/(EZ2-GG2),0)</f>
        <v>0</v>
      </c>
      <c r="BU2" s="5">
        <f t="shared" ref="BU2:BU11" si="72">IFERROR((FO2+FQ2-GF2)/(EZ2-GG2),0)</f>
        <v>0</v>
      </c>
      <c r="BV2" s="107">
        <f t="shared" ref="BV2:BV11" si="73">IFERROR((EZ2-GG2)/(FO2-GF2),0)</f>
        <v>0</v>
      </c>
      <c r="BW2" s="5">
        <f t="shared" ref="BW2:BW11" si="74">IFERROR(((AD2)/CJ2)*(AK2),0)</f>
        <v>0</v>
      </c>
      <c r="BX2" s="5">
        <f t="shared" ref="BX2:BX11" si="75">IFERROR(CH2/(L2),0)</f>
        <v>1.102397926117952</v>
      </c>
      <c r="BY2" s="5">
        <f t="shared" ref="BY2:BY11" si="76">IFERROR(EZ2/L2,0)</f>
        <v>0</v>
      </c>
      <c r="BZ2" s="276">
        <f t="shared" ref="BZ2:BZ11" si="77">IFERROR(BY2-BX2,0)</f>
        <v>-1.102397926117952</v>
      </c>
      <c r="CA2" s="275">
        <f t="shared" ref="CA2:CA11" si="78">IFERROR(CJ2/(FO2-GF2),0)</f>
        <v>0</v>
      </c>
      <c r="CB2" s="5">
        <f t="shared" ref="CB2:CB11" si="79">IFERROR(EW2/FO2,0)</f>
        <v>23.738461538461539</v>
      </c>
      <c r="CC2" s="5">
        <f t="shared" ref="CC2:CC11" si="80">IFERROR(EW2/FP2,0)</f>
        <v>25.716666666666665</v>
      </c>
      <c r="CD2" s="5">
        <f t="shared" ref="CD2:CD11" si="81">IFERROR(EW2/EZ2,L2*90)</f>
        <v>1543</v>
      </c>
      <c r="CE2" s="5">
        <f t="shared" ref="CE2:CE11" si="82">IFERROR(EW2/Z2,300)</f>
        <v>128.58333333333334</v>
      </c>
      <c r="CF2" s="5">
        <f t="shared" ref="CF2:CF11" si="83">IFERROR(EZ2-CH2,0)</f>
        <v>-18.899999999999999</v>
      </c>
      <c r="CG2" s="5">
        <f t="shared" ref="CG2:CG11" si="84">IFERROR((EZ2-GG2)-CJ2,0)</f>
        <v>-7.03</v>
      </c>
      <c r="CH2" s="5">
        <f t="shared" ref="CH2:CH11" si="85">SUBSTITUTE(FF2,".","," )*1</f>
        <v>18.899999999999999</v>
      </c>
      <c r="CI2" s="5">
        <f t="shared" ref="CI2:CI11" si="86">IFERROR(CH2/L2,0)</f>
        <v>1.102397926117952</v>
      </c>
      <c r="CJ2" s="5">
        <f t="shared" ref="CJ2:CJ11" si="87">IFERROR(CH2-(GF2*0.79),0)</f>
        <v>0</v>
      </c>
      <c r="CK2" s="5">
        <f t="shared" ref="CK2:CK11" si="88">IFERROR((CJ2/L2),0)</f>
        <v>0</v>
      </c>
      <c r="CL2" s="5">
        <f t="shared" ref="CL2:CL11" si="89">SUBSTITUTE(FG2,".","," )*1</f>
        <v>1.56</v>
      </c>
      <c r="CM2" s="5">
        <f t="shared" ref="CM2:CM11" si="90">IFERROR(CL2/L2,0)</f>
        <v>9.0991574854180163E-2</v>
      </c>
      <c r="CN2" s="5">
        <f t="shared" ref="CN2:CN11" si="91">IFERROR(CL2+CJ2,0)</f>
        <v>1.56</v>
      </c>
      <c r="CO2" s="5">
        <f t="shared" ref="CO2:CO11" si="92">IFERROR(CN2/L2,0)</f>
        <v>9.0991574854180163E-2</v>
      </c>
      <c r="CP2" s="21">
        <f t="shared" ref="CP2:CP11" si="93">EZ2/(EZ2+CH2)</f>
        <v>0</v>
      </c>
      <c r="CQ2" s="6">
        <f t="shared" ref="CQ2:CQ11" si="94">FL2</f>
        <v>754</v>
      </c>
      <c r="CR2" s="5">
        <f t="shared" ref="CR2:CR11" si="95">IFERROR(CQ2/L2,0)</f>
        <v>43.979261179520414</v>
      </c>
      <c r="CS2" s="5">
        <f t="shared" ref="CS2:CS11" si="96">CL2</f>
        <v>1.56</v>
      </c>
      <c r="CT2" s="5">
        <f t="shared" ref="CT2:CT11" si="97">IFERROR(CL2-FA2,0)</f>
        <v>-10.44</v>
      </c>
      <c r="CU2" s="6">
        <f t="shared" ref="CU2:CU11" si="98">FX2</f>
        <v>24</v>
      </c>
      <c r="CV2" s="5">
        <f t="shared" ref="CV2:CV11" si="99">CU2/L2</f>
        <v>1.3998703823720025</v>
      </c>
      <c r="CW2" s="6">
        <f t="shared" ref="CW2:CW11" si="100">FY2</f>
        <v>0</v>
      </c>
      <c r="CX2" s="5">
        <f t="shared" ref="CX2:CX11" si="101">CW2/L2</f>
        <v>0</v>
      </c>
      <c r="CY2" s="21">
        <f t="shared" ref="CY2:CY11" si="102">IFERROR(CW2/CU2,0)</f>
        <v>0</v>
      </c>
      <c r="CZ2" s="340">
        <f t="shared" ref="CZ2:CZ11" si="103">FN2</f>
        <v>32</v>
      </c>
      <c r="DA2" s="341">
        <f t="shared" ref="DA2:DA11" si="104">IFERROR(FN2/L2,0)</f>
        <v>1.8664938431626701</v>
      </c>
      <c r="DB2" s="207">
        <f t="shared" ref="DB2:DB11" si="105">IFERROR((((DL2*1000)/(EW2*60))*3600)/1000,0)</f>
        <v>0</v>
      </c>
      <c r="DC2" s="2">
        <f t="shared" ref="DC2:DC11" si="106">FS2+FU2+FH2</f>
        <v>90</v>
      </c>
      <c r="DD2" s="5">
        <f t="shared" ref="DD2:DD11" si="107">IFERROR(DC2/L2,0)</f>
        <v>5.2495139338950096</v>
      </c>
      <c r="DE2" s="2">
        <f t="shared" ref="DE2:DE11" si="108">IFERROR(FV2+FT2,0)</f>
        <v>33</v>
      </c>
      <c r="DF2" s="5">
        <f t="shared" ref="DF2:DF11" si="109">IFERROR(DE2/L2,0)</f>
        <v>1.9248217757615034</v>
      </c>
      <c r="DG2" s="107">
        <f t="shared" ref="DG2:DG11" si="110">IFERROR((DE2*1)/DC2,)</f>
        <v>0.36666666666666664</v>
      </c>
      <c r="DH2" s="6">
        <f t="shared" ref="DH2:DH11" si="111">FW2</f>
        <v>2</v>
      </c>
      <c r="DI2" s="5">
        <f t="shared" ref="DI2:DI11" si="112">IFERROR(DH2/L2,0)</f>
        <v>0.11665586519766688</v>
      </c>
      <c r="DJ2" s="6">
        <f t="shared" ref="DJ2:DJ11" si="113">FI2</f>
        <v>61</v>
      </c>
      <c r="DK2" s="5">
        <f t="shared" ref="DK2:DK11" si="114">IFERROR(DJ2/L2,0)</f>
        <v>3.5580038885288396</v>
      </c>
      <c r="DL2" s="5" t="e">
        <f t="shared" ref="DL2:DL11" si="115">VALUE(SUBSTITUTE(GI2, " km", ""))</f>
        <v>#VALUE!</v>
      </c>
      <c r="DM2" s="5">
        <f t="shared" ref="DM2:DM11" si="116">IFERROR(DL2/L2,0)</f>
        <v>0</v>
      </c>
      <c r="DN2" s="314">
        <f t="shared" ref="DN2:DN11" si="117">IFERROR((GH2*L2),0)</f>
        <v>0</v>
      </c>
      <c r="DO2" s="339">
        <f t="shared" ref="DO2:DO11" si="118">GH2</f>
        <v>0</v>
      </c>
      <c r="DP2" s="6" t="e">
        <f t="shared" ref="DP2:DP11" si="119">(FQ2+FO2+GE2+FH2+FI2+FN2+FL2+GF2+CH2)</f>
        <v>#VALUE!</v>
      </c>
      <c r="DQ2" s="5">
        <f t="shared" ref="DQ2:DQ11" si="120">IFERROR(DP2/L2,0)</f>
        <v>0</v>
      </c>
      <c r="DR2" s="6">
        <f t="shared" ref="DR2:DR11" si="121">(FP2+FI2+FN2+FL2+GG2+EZ2+FA2)</f>
        <v>926.03</v>
      </c>
      <c r="DS2" s="5">
        <f t="shared" ref="DS2:DS11" si="122">IFERROR(DR2/L2,0)</f>
        <v>54.01341542449773</v>
      </c>
      <c r="DT2" s="208">
        <f t="shared" ref="DT2:DT11" si="123">DU2*L2</f>
        <v>51.433333333333337</v>
      </c>
      <c r="DU2" s="5">
        <f t="shared" ref="DU2:DU11" si="124">FE2</f>
        <v>3</v>
      </c>
      <c r="DV2" s="21">
        <f t="shared" ref="DV2:DV11" si="125">IFERROR(DR2/DP2,0)</f>
        <v>0</v>
      </c>
      <c r="DW2" s="6">
        <f t="shared" ref="DW2:DW11" si="126">IFERROR(FP2+CL2+FB2+FL2+GB2+FY2+(EZ2*0.5)+(FA2*0.5),0)</f>
        <v>829.66</v>
      </c>
      <c r="DX2" s="5">
        <f t="shared" ref="DX2:DX11" si="127">IFERROR(DW2/L2,0)</f>
        <v>48.392352559948151</v>
      </c>
      <c r="DY2" s="5">
        <f t="shared" ref="DY2:DY11" si="128">IFERROR((GF2+FQ2+FO2+FN2+FJ2+FV2)/L2,0)</f>
        <v>0</v>
      </c>
      <c r="DZ2" s="178">
        <f t="shared" ref="DZ2:DZ11" si="129">IFERROR(FX2+FO2+FN2+FL2,0)</f>
        <v>875</v>
      </c>
      <c r="EA2" s="5">
        <f t="shared" ref="EA2:EA11" si="130">DZ2/L2</f>
        <v>51.03694102397926</v>
      </c>
      <c r="EB2" s="6">
        <f t="shared" ref="EB2:EB11" si="131">IFERROR(FY2+FP2+FN2+FL2,0)</f>
        <v>846</v>
      </c>
      <c r="EC2" s="5">
        <f t="shared" ref="EC2:EC11" si="132">IFERROR(EB2/L2,0)</f>
        <v>49.345430978613088</v>
      </c>
      <c r="ED2" s="21">
        <f t="shared" ref="ED2:ED11" si="133">IFERROR(EB2/DZ2,0)</f>
        <v>0.96685714285714286</v>
      </c>
      <c r="EE2" s="6">
        <f t="shared" ref="EE2:EE11" si="134">IFERROR((FN2+FO2+(FB2-GF2)+FL2+DC2+FY2),0)</f>
        <v>0</v>
      </c>
      <c r="EF2" s="5">
        <f t="shared" ref="EF2:EF11" si="135">IFERROR(EE2/L2,0)</f>
        <v>0</v>
      </c>
      <c r="EG2" s="6">
        <f t="shared" ref="EG2:EG11" si="136">IFERROR((FO2+FB2+FL2),0)</f>
        <v>823</v>
      </c>
      <c r="EH2" s="5">
        <f t="shared" ref="EH2:EH11" si="137">IFERROR(EG2/L2,0)</f>
        <v>48.003888528839916</v>
      </c>
      <c r="EI2" s="6">
        <f t="shared" ref="EI2:EI11" si="138">IFERROR((FO2-FP2)+(FJ2-FK2),0)</f>
        <v>29.9</v>
      </c>
      <c r="EJ2" s="5">
        <f t="shared" ref="EJ2:EJ11" si="139">IFERROR(EI2/L2,0)</f>
        <v>1.7440051847051197</v>
      </c>
      <c r="EK2" s="5">
        <f t="shared" ref="EK2:EK11" si="140">FE2</f>
        <v>3</v>
      </c>
      <c r="EL2" s="5">
        <f t="shared" ref="EL2:EL11" si="141">IFERROR(VALUE(SUBSTITUTE(GJ2, ".", ",")),0)</f>
        <v>0</v>
      </c>
      <c r="EM2" s="296"/>
      <c r="EN2" s="292" t="s">
        <v>1075</v>
      </c>
      <c r="EO2" s="292" t="s">
        <v>1076</v>
      </c>
      <c r="EP2" s="292">
        <v>26</v>
      </c>
      <c r="EQ2" s="292" t="s">
        <v>1038</v>
      </c>
      <c r="ER2" s="292" t="s">
        <v>540</v>
      </c>
      <c r="ES2" s="292" t="s">
        <v>601</v>
      </c>
      <c r="ET2" s="292" t="s">
        <v>1077</v>
      </c>
      <c r="EU2" s="292" t="s">
        <v>1078</v>
      </c>
      <c r="EV2" s="293">
        <v>48029</v>
      </c>
      <c r="EW2" s="292">
        <v>1543</v>
      </c>
      <c r="EX2" s="292" t="s">
        <v>1079</v>
      </c>
      <c r="EY2" s="292">
        <v>1</v>
      </c>
      <c r="EZ2" s="292">
        <v>0</v>
      </c>
      <c r="FA2" s="292">
        <v>12</v>
      </c>
      <c r="FB2" s="292">
        <v>4</v>
      </c>
      <c r="FC2" s="292">
        <v>2</v>
      </c>
      <c r="FD2" s="292">
        <v>0</v>
      </c>
      <c r="FE2" s="292">
        <v>3</v>
      </c>
      <c r="FF2" s="292">
        <v>18.899999999999999</v>
      </c>
      <c r="FG2" s="292" t="s">
        <v>1080</v>
      </c>
      <c r="FH2" s="292">
        <v>24</v>
      </c>
      <c r="FI2" s="292">
        <v>61</v>
      </c>
      <c r="FJ2" s="292">
        <v>25</v>
      </c>
      <c r="FK2" s="292">
        <v>0.1</v>
      </c>
      <c r="FL2" s="292">
        <v>754</v>
      </c>
      <c r="FM2" s="292">
        <v>665</v>
      </c>
      <c r="FN2" s="292">
        <v>32</v>
      </c>
      <c r="FO2" s="292">
        <v>65</v>
      </c>
      <c r="FP2" s="292">
        <v>60</v>
      </c>
      <c r="FQ2" s="292">
        <v>27</v>
      </c>
      <c r="FR2" s="292">
        <v>162</v>
      </c>
      <c r="FS2" s="292">
        <v>39</v>
      </c>
      <c r="FT2" s="292">
        <v>32</v>
      </c>
      <c r="FU2" s="292">
        <v>27</v>
      </c>
      <c r="FV2" s="292">
        <v>1</v>
      </c>
      <c r="FW2" s="292">
        <v>2</v>
      </c>
      <c r="FX2" s="292">
        <v>24</v>
      </c>
      <c r="FY2" s="292">
        <v>0</v>
      </c>
      <c r="FZ2" s="292">
        <v>9</v>
      </c>
      <c r="GA2" s="292">
        <v>16</v>
      </c>
      <c r="GB2" s="292">
        <v>4.0999999999999996</v>
      </c>
      <c r="GC2" s="292">
        <v>0</v>
      </c>
      <c r="GD2" s="292">
        <v>0</v>
      </c>
      <c r="GE2" s="292">
        <v>0</v>
      </c>
      <c r="GF2" s="292" t="s">
        <v>1081</v>
      </c>
      <c r="GG2" s="297">
        <v>7.03</v>
      </c>
      <c r="GH2" s="398"/>
      <c r="GI2" s="398"/>
      <c r="GJ2" s="401"/>
    </row>
    <row r="3" spans="1:192" ht="24.95" customHeight="1" thickBot="1" x14ac:dyDescent="0.3">
      <c r="A3" s="29" t="str">
        <f t="shared" si="0"/>
        <v>2º</v>
      </c>
      <c r="B3" s="69" t="str">
        <f t="shared" si="1"/>
        <v>Benjamin Šeško</v>
      </c>
      <c r="C3" s="86" t="str">
        <f t="shared" si="2"/>
        <v>SVN</v>
      </c>
      <c r="D3" s="99" t="str">
        <f t="shared" si="3"/>
        <v>Pé Direito</v>
      </c>
      <c r="E3" s="28" t="str">
        <f t="shared" si="4"/>
        <v>Manchester United</v>
      </c>
      <c r="F3" s="165">
        <f t="shared" si="5"/>
        <v>1.95</v>
      </c>
      <c r="G3" s="148">
        <f t="shared" si="6"/>
        <v>47664</v>
      </c>
      <c r="H3" s="167">
        <f t="shared" si="7"/>
        <v>22</v>
      </c>
      <c r="I3" s="200" t="str">
        <f t="shared" si="8"/>
        <v>€1,01M p/m</v>
      </c>
      <c r="J3" s="186" t="str">
        <f t="shared" si="9"/>
        <v>€70M - €107M</v>
      </c>
      <c r="K3" s="96">
        <f t="shared" si="10"/>
        <v>28.532222222222224</v>
      </c>
      <c r="L3" s="144">
        <f t="shared" si="11"/>
        <v>29.366666666666667</v>
      </c>
      <c r="M3" s="144">
        <f t="shared" si="12"/>
        <v>32</v>
      </c>
      <c r="N3" s="144">
        <f t="shared" si="13"/>
        <v>82.59375</v>
      </c>
      <c r="O3" s="184">
        <f t="shared" si="14"/>
        <v>0.97</v>
      </c>
      <c r="P3" s="2">
        <f t="shared" si="15"/>
        <v>2</v>
      </c>
      <c r="Q3" s="5">
        <f t="shared" si="16"/>
        <v>0</v>
      </c>
      <c r="R3" s="5">
        <f t="shared" si="17"/>
        <v>0</v>
      </c>
      <c r="S3" s="5">
        <f t="shared" si="18"/>
        <v>0.51078320090805907</v>
      </c>
      <c r="T3" s="5">
        <f t="shared" si="19"/>
        <v>0.51078320090805907</v>
      </c>
      <c r="U3" s="6">
        <f t="shared" si="20"/>
        <v>3</v>
      </c>
      <c r="V3" s="24">
        <f t="shared" si="21"/>
        <v>881</v>
      </c>
      <c r="W3" s="21">
        <f t="shared" si="22"/>
        <v>0.1021566401816118</v>
      </c>
      <c r="X3" s="2">
        <f t="shared" si="23"/>
        <v>0</v>
      </c>
      <c r="Y3" s="2">
        <f t="shared" si="24"/>
        <v>15</v>
      </c>
      <c r="Z3" s="2">
        <f t="shared" si="25"/>
        <v>15</v>
      </c>
      <c r="AA3" s="353">
        <f t="shared" si="26"/>
        <v>-9.2800000000000011</v>
      </c>
      <c r="AB3" s="353">
        <f t="shared" si="27"/>
        <v>2.2999999999999998</v>
      </c>
      <c r="AC3" s="354">
        <f t="shared" si="28"/>
        <v>6.98</v>
      </c>
      <c r="AD3" s="6">
        <f t="shared" si="29"/>
        <v>-6.98</v>
      </c>
      <c r="AE3" s="20">
        <f t="shared" si="30"/>
        <v>0</v>
      </c>
      <c r="AF3" s="20">
        <f t="shared" si="31"/>
        <v>1</v>
      </c>
      <c r="AG3" s="20">
        <f t="shared" si="32"/>
        <v>0.46533333333333338</v>
      </c>
      <c r="AH3" s="5">
        <f t="shared" si="33"/>
        <v>0</v>
      </c>
      <c r="AI3" s="5">
        <f t="shared" si="34"/>
        <v>0.51078320090805907</v>
      </c>
      <c r="AJ3" s="5">
        <f t="shared" si="35"/>
        <v>0.51078320090805907</v>
      </c>
      <c r="AK3" s="5">
        <f t="shared" si="36"/>
        <v>-0.2376844494892168</v>
      </c>
      <c r="AL3" s="315">
        <f t="shared" si="37"/>
        <v>-0.31600454029511921</v>
      </c>
      <c r="AM3" s="315">
        <f t="shared" si="38"/>
        <v>7.8320090805902381E-2</v>
      </c>
      <c r="AN3" s="315">
        <f t="shared" si="39"/>
        <v>2</v>
      </c>
      <c r="AO3" s="21">
        <f t="shared" si="40"/>
        <v>3.9160045402951191E-2</v>
      </c>
      <c r="AP3" s="314">
        <f t="shared" si="41"/>
        <v>-18</v>
      </c>
      <c r="AQ3" s="315">
        <f t="shared" si="42"/>
        <v>-0.61293984108967081</v>
      </c>
      <c r="AR3" s="314">
        <f t="shared" si="43"/>
        <v>59</v>
      </c>
      <c r="AS3" s="315">
        <f t="shared" si="44"/>
        <v>2.0090805902383653</v>
      </c>
      <c r="AT3" s="318">
        <f t="shared" si="45"/>
        <v>-3.2777777777777777</v>
      </c>
      <c r="AU3" s="326">
        <f t="shared" si="46"/>
        <v>2</v>
      </c>
      <c r="AV3" s="314" t="str">
        <f t="shared" si="47"/>
        <v>325,1 km</v>
      </c>
      <c r="AW3" s="314">
        <f t="shared" si="48"/>
        <v>6.98</v>
      </c>
      <c r="AX3" s="329">
        <f t="shared" si="49"/>
        <v>0</v>
      </c>
      <c r="AY3" s="315">
        <f t="shared" si="50"/>
        <v>0.2376844494892168</v>
      </c>
      <c r="AZ3" s="20">
        <f t="shared" si="51"/>
        <v>1.0000000000000001E-5</v>
      </c>
      <c r="BA3" s="2">
        <f t="shared" si="52"/>
        <v>48</v>
      </c>
      <c r="BB3" s="2">
        <f t="shared" si="53"/>
        <v>30</v>
      </c>
      <c r="BC3" s="5">
        <f t="shared" si="54"/>
        <v>1.6345062429057888</v>
      </c>
      <c r="BD3" s="5">
        <f t="shared" si="55"/>
        <v>1.0215664018161181</v>
      </c>
      <c r="BE3" s="2">
        <f t="shared" si="56"/>
        <v>18</v>
      </c>
      <c r="BF3" s="107">
        <f t="shared" si="57"/>
        <v>0.625</v>
      </c>
      <c r="BG3" s="107">
        <f t="shared" si="58"/>
        <v>0.375</v>
      </c>
      <c r="BH3" s="338">
        <f t="shared" si="59"/>
        <v>2</v>
      </c>
      <c r="BI3" s="315">
        <f t="shared" si="60"/>
        <v>6.8104426787741201E-2</v>
      </c>
      <c r="BJ3" s="6">
        <f t="shared" si="61"/>
        <v>14</v>
      </c>
      <c r="BK3" s="5">
        <f t="shared" si="62"/>
        <v>0.47673098751418841</v>
      </c>
      <c r="BL3" s="6">
        <f t="shared" si="63"/>
        <v>-81</v>
      </c>
      <c r="BM3" s="5">
        <f t="shared" si="64"/>
        <v>-2.7582292849035186</v>
      </c>
      <c r="BN3" s="6">
        <f t="shared" si="65"/>
        <v>95</v>
      </c>
      <c r="BO3" s="5">
        <f t="shared" si="66"/>
        <v>3.2349602724177071</v>
      </c>
      <c r="BP3" s="6">
        <f t="shared" si="67"/>
        <v>95</v>
      </c>
      <c r="BQ3" s="5">
        <f t="shared" si="68"/>
        <v>3.2349602724177071</v>
      </c>
      <c r="BR3" s="21">
        <f t="shared" si="69"/>
        <v>6.7857142857142856</v>
      </c>
      <c r="BS3" s="5">
        <f t="shared" si="70"/>
        <v>100</v>
      </c>
      <c r="BT3" s="5">
        <f t="shared" si="71"/>
        <v>0</v>
      </c>
      <c r="BU3" s="5">
        <f t="shared" si="72"/>
        <v>0</v>
      </c>
      <c r="BV3" s="107">
        <f t="shared" si="73"/>
        <v>0</v>
      </c>
      <c r="BW3" s="5">
        <f t="shared" si="74"/>
        <v>0</v>
      </c>
      <c r="BX3" s="5">
        <f t="shared" si="75"/>
        <v>0.57207718501702609</v>
      </c>
      <c r="BY3" s="5">
        <f t="shared" si="76"/>
        <v>0</v>
      </c>
      <c r="BZ3" s="276">
        <f t="shared" si="77"/>
        <v>-0.57207718501702609</v>
      </c>
      <c r="CA3" s="275">
        <f t="shared" si="78"/>
        <v>0</v>
      </c>
      <c r="CB3" s="5">
        <f t="shared" si="79"/>
        <v>188.78571428571428</v>
      </c>
      <c r="CC3" s="5">
        <f t="shared" si="80"/>
        <v>27.821052631578947</v>
      </c>
      <c r="CD3" s="5">
        <f t="shared" si="81"/>
        <v>2643</v>
      </c>
      <c r="CE3" s="5">
        <f t="shared" si="82"/>
        <v>176.2</v>
      </c>
      <c r="CF3" s="5">
        <f t="shared" si="83"/>
        <v>-16.8</v>
      </c>
      <c r="CG3" s="5">
        <f t="shared" si="84"/>
        <v>-6.98</v>
      </c>
      <c r="CH3" s="5">
        <f t="shared" si="85"/>
        <v>16.8</v>
      </c>
      <c r="CI3" s="5">
        <f t="shared" si="86"/>
        <v>0.57207718501702609</v>
      </c>
      <c r="CJ3" s="5">
        <f t="shared" si="87"/>
        <v>0</v>
      </c>
      <c r="CK3" s="5">
        <f t="shared" si="88"/>
        <v>0</v>
      </c>
      <c r="CL3" s="5">
        <f t="shared" si="89"/>
        <v>3.82</v>
      </c>
      <c r="CM3" s="5">
        <f t="shared" si="90"/>
        <v>0.13007945516458569</v>
      </c>
      <c r="CN3" s="5">
        <f t="shared" si="91"/>
        <v>3.82</v>
      </c>
      <c r="CO3" s="5">
        <f t="shared" si="92"/>
        <v>0.13007945516458569</v>
      </c>
      <c r="CP3" s="21">
        <f t="shared" si="93"/>
        <v>0</v>
      </c>
      <c r="CQ3" s="6">
        <f t="shared" si="94"/>
        <v>925</v>
      </c>
      <c r="CR3" s="5">
        <f t="shared" si="95"/>
        <v>31.498297389330308</v>
      </c>
      <c r="CS3" s="5">
        <f t="shared" si="96"/>
        <v>3.82</v>
      </c>
      <c r="CT3" s="5">
        <f t="shared" si="97"/>
        <v>-11.18</v>
      </c>
      <c r="CU3" s="6">
        <f t="shared" si="98"/>
        <v>24</v>
      </c>
      <c r="CV3" s="5">
        <f t="shared" si="99"/>
        <v>0.81725312145289442</v>
      </c>
      <c r="CW3" s="6">
        <f t="shared" si="100"/>
        <v>0</v>
      </c>
      <c r="CX3" s="5">
        <f t="shared" si="101"/>
        <v>0</v>
      </c>
      <c r="CY3" s="21">
        <f t="shared" si="102"/>
        <v>0</v>
      </c>
      <c r="CZ3" s="340">
        <f t="shared" si="103"/>
        <v>15</v>
      </c>
      <c r="DA3" s="341">
        <f t="shared" si="104"/>
        <v>0.51078320090805907</v>
      </c>
      <c r="DB3" s="207">
        <f t="shared" si="105"/>
        <v>1.0488081725312144</v>
      </c>
      <c r="DC3" s="2">
        <f t="shared" si="106"/>
        <v>42</v>
      </c>
      <c r="DD3" s="5">
        <f t="shared" si="107"/>
        <v>1.4301929625425653</v>
      </c>
      <c r="DE3" s="2">
        <f t="shared" si="108"/>
        <v>3</v>
      </c>
      <c r="DF3" s="5">
        <f t="shared" si="109"/>
        <v>0.1021566401816118</v>
      </c>
      <c r="DG3" s="107">
        <f t="shared" si="110"/>
        <v>7.1428571428571425E-2</v>
      </c>
      <c r="DH3" s="6">
        <f t="shared" si="111"/>
        <v>4</v>
      </c>
      <c r="DI3" s="5">
        <f t="shared" si="112"/>
        <v>0.1362088535754824</v>
      </c>
      <c r="DJ3" s="6">
        <f t="shared" si="113"/>
        <v>203</v>
      </c>
      <c r="DK3" s="5">
        <f t="shared" si="114"/>
        <v>6.9125993189557322</v>
      </c>
      <c r="DL3" s="5">
        <f t="shared" si="115"/>
        <v>46.2</v>
      </c>
      <c r="DM3" s="5">
        <f t="shared" si="116"/>
        <v>1.5732122587968218</v>
      </c>
      <c r="DN3" s="314">
        <f t="shared" si="117"/>
        <v>211.44</v>
      </c>
      <c r="DO3" s="339">
        <f t="shared" si="118"/>
        <v>7.2</v>
      </c>
      <c r="DP3" s="6" t="e">
        <f t="shared" si="119"/>
        <v>#VALUE!</v>
      </c>
      <c r="DQ3" s="5">
        <f t="shared" si="120"/>
        <v>0</v>
      </c>
      <c r="DR3" s="6">
        <f t="shared" si="121"/>
        <v>1259.98</v>
      </c>
      <c r="DS3" s="5">
        <f t="shared" si="122"/>
        <v>42.90510783200908</v>
      </c>
      <c r="DT3" s="208">
        <f t="shared" si="123"/>
        <v>205.56666666666666</v>
      </c>
      <c r="DU3" s="5">
        <f t="shared" si="124"/>
        <v>7</v>
      </c>
      <c r="DV3" s="21">
        <f t="shared" si="125"/>
        <v>0</v>
      </c>
      <c r="DW3" s="6">
        <f t="shared" si="126"/>
        <v>1034.6199999999999</v>
      </c>
      <c r="DX3" s="5">
        <f t="shared" si="127"/>
        <v>35.231101021566396</v>
      </c>
      <c r="DY3" s="5">
        <f t="shared" si="128"/>
        <v>0</v>
      </c>
      <c r="DZ3" s="178">
        <f t="shared" si="129"/>
        <v>978</v>
      </c>
      <c r="EA3" s="5">
        <f t="shared" si="130"/>
        <v>33.30306469920545</v>
      </c>
      <c r="EB3" s="6">
        <f t="shared" si="131"/>
        <v>1035</v>
      </c>
      <c r="EC3" s="5">
        <f t="shared" si="132"/>
        <v>35.244040862656071</v>
      </c>
      <c r="ED3" s="21">
        <f t="shared" si="133"/>
        <v>1.0582822085889572</v>
      </c>
      <c r="EE3" s="6">
        <f t="shared" si="134"/>
        <v>0</v>
      </c>
      <c r="EF3" s="5">
        <f t="shared" si="135"/>
        <v>0</v>
      </c>
      <c r="EG3" s="6">
        <f t="shared" si="136"/>
        <v>940</v>
      </c>
      <c r="EH3" s="5">
        <f t="shared" si="137"/>
        <v>32.009080590238362</v>
      </c>
      <c r="EI3" s="6">
        <f t="shared" si="138"/>
        <v>14.900000000000006</v>
      </c>
      <c r="EJ3" s="5">
        <f t="shared" si="139"/>
        <v>0.50737797956867214</v>
      </c>
      <c r="EK3" s="5">
        <f t="shared" si="140"/>
        <v>7</v>
      </c>
      <c r="EL3" s="5">
        <f t="shared" si="141"/>
        <v>7.1</v>
      </c>
      <c r="EM3" s="296"/>
      <c r="EN3" s="292" t="s">
        <v>1063</v>
      </c>
      <c r="EO3" s="292" t="s">
        <v>1064</v>
      </c>
      <c r="EP3" s="292">
        <v>22</v>
      </c>
      <c r="EQ3" s="292" t="s">
        <v>1003</v>
      </c>
      <c r="ER3" s="292" t="s">
        <v>1022</v>
      </c>
      <c r="ES3" s="292" t="s">
        <v>601</v>
      </c>
      <c r="ET3" s="292" t="s">
        <v>1065</v>
      </c>
      <c r="EU3" s="292" t="s">
        <v>1066</v>
      </c>
      <c r="EV3" s="293">
        <v>47664</v>
      </c>
      <c r="EW3" s="292">
        <v>2643</v>
      </c>
      <c r="EX3" s="292" t="s">
        <v>1004</v>
      </c>
      <c r="EY3" s="292">
        <v>3</v>
      </c>
      <c r="EZ3" s="292">
        <v>0</v>
      </c>
      <c r="FA3" s="292">
        <v>15</v>
      </c>
      <c r="FB3" s="292">
        <v>1</v>
      </c>
      <c r="FC3" s="292">
        <v>2</v>
      </c>
      <c r="FD3" s="292">
        <v>0</v>
      </c>
      <c r="FE3" s="292">
        <v>7</v>
      </c>
      <c r="FF3" s="292">
        <v>16.8</v>
      </c>
      <c r="FG3" s="292" t="s">
        <v>1067</v>
      </c>
      <c r="FH3" s="292">
        <v>34</v>
      </c>
      <c r="FI3" s="292">
        <v>203</v>
      </c>
      <c r="FJ3" s="292">
        <v>96</v>
      </c>
      <c r="FK3" s="292">
        <v>0.1</v>
      </c>
      <c r="FL3" s="292">
        <v>925</v>
      </c>
      <c r="FM3" s="292">
        <v>817</v>
      </c>
      <c r="FN3" s="292">
        <v>15</v>
      </c>
      <c r="FO3" s="292">
        <v>14</v>
      </c>
      <c r="FP3" s="292">
        <v>95</v>
      </c>
      <c r="FQ3" s="292">
        <v>48</v>
      </c>
      <c r="FR3" s="292">
        <v>30</v>
      </c>
      <c r="FS3" s="292">
        <v>7</v>
      </c>
      <c r="FT3" s="292">
        <v>3</v>
      </c>
      <c r="FU3" s="292">
        <v>1</v>
      </c>
      <c r="FV3" s="292">
        <v>0</v>
      </c>
      <c r="FW3" s="292">
        <v>4</v>
      </c>
      <c r="FX3" s="292">
        <v>24</v>
      </c>
      <c r="FY3" s="292">
        <v>0</v>
      </c>
      <c r="FZ3" s="292">
        <v>6</v>
      </c>
      <c r="GA3" s="292">
        <v>59</v>
      </c>
      <c r="GB3" s="292">
        <v>2.2999999999999998</v>
      </c>
      <c r="GC3" s="292">
        <v>2</v>
      </c>
      <c r="GD3" s="292">
        <v>2</v>
      </c>
      <c r="GE3" s="292">
        <v>2</v>
      </c>
      <c r="GF3" s="292" t="s">
        <v>1068</v>
      </c>
      <c r="GG3" s="297">
        <v>6.98</v>
      </c>
      <c r="GH3" s="292">
        <v>7.2</v>
      </c>
      <c r="GI3" s="292" t="s">
        <v>887</v>
      </c>
      <c r="GJ3" s="297">
        <v>7.1</v>
      </c>
    </row>
    <row r="4" spans="1:192" ht="24.95" customHeight="1" thickBot="1" x14ac:dyDescent="0.3">
      <c r="A4" s="29" t="str">
        <f t="shared" si="0"/>
        <v>3º</v>
      </c>
      <c r="B4" s="69" t="str">
        <f t="shared" si="1"/>
        <v>Erling Haaland</v>
      </c>
      <c r="C4" s="86" t="str">
        <f t="shared" si="2"/>
        <v>NOR</v>
      </c>
      <c r="D4" s="99" t="str">
        <f t="shared" si="3"/>
        <v>Pé Esquerdo</v>
      </c>
      <c r="E4" s="28" t="str">
        <f t="shared" si="4"/>
        <v>Manchester City</v>
      </c>
      <c r="F4" s="165">
        <f t="shared" si="5"/>
        <v>1.95</v>
      </c>
      <c r="G4" s="148">
        <f t="shared" si="6"/>
        <v>49125</v>
      </c>
      <c r="H4" s="167">
        <f t="shared" si="7"/>
        <v>25</v>
      </c>
      <c r="I4" s="200" t="str">
        <f t="shared" si="8"/>
        <v>€4,42M p/m</v>
      </c>
      <c r="J4" s="186" t="str">
        <f t="shared" si="9"/>
        <v>€210M - €229M</v>
      </c>
      <c r="K4" s="96">
        <f t="shared" si="10"/>
        <v>28.532222222222224</v>
      </c>
      <c r="L4" s="144">
        <f t="shared" si="11"/>
        <v>31.555555555555557</v>
      </c>
      <c r="M4" s="144">
        <f t="shared" si="12"/>
        <v>36</v>
      </c>
      <c r="N4" s="144">
        <f t="shared" si="13"/>
        <v>78.888888888888886</v>
      </c>
      <c r="O4" s="184">
        <f t="shared" si="14"/>
        <v>0.97</v>
      </c>
      <c r="P4" s="2">
        <f t="shared" si="15"/>
        <v>3</v>
      </c>
      <c r="Q4" s="5">
        <f t="shared" si="16"/>
        <v>0</v>
      </c>
      <c r="R4" s="5">
        <f t="shared" si="17"/>
        <v>0</v>
      </c>
      <c r="S4" s="5">
        <f t="shared" si="18"/>
        <v>0.72887323943661964</v>
      </c>
      <c r="T4" s="5">
        <f t="shared" si="19"/>
        <v>0.72887323943661964</v>
      </c>
      <c r="U4" s="6">
        <f t="shared" si="20"/>
        <v>6</v>
      </c>
      <c r="V4" s="24">
        <f t="shared" si="21"/>
        <v>473.33333333333331</v>
      </c>
      <c r="W4" s="21">
        <f t="shared" si="22"/>
        <v>0.19014084507042253</v>
      </c>
      <c r="X4" s="2">
        <f t="shared" si="23"/>
        <v>0</v>
      </c>
      <c r="Y4" s="2">
        <f t="shared" si="24"/>
        <v>23</v>
      </c>
      <c r="Z4" s="2">
        <f t="shared" si="25"/>
        <v>23</v>
      </c>
      <c r="AA4" s="353">
        <f t="shared" si="26"/>
        <v>-10.86</v>
      </c>
      <c r="AB4" s="353">
        <f t="shared" si="27"/>
        <v>3.5</v>
      </c>
      <c r="AC4" s="354">
        <f t="shared" si="28"/>
        <v>7.36</v>
      </c>
      <c r="AD4" s="6">
        <f t="shared" si="29"/>
        <v>-7.36</v>
      </c>
      <c r="AE4" s="20">
        <f t="shared" si="30"/>
        <v>0</v>
      </c>
      <c r="AF4" s="20">
        <f t="shared" si="31"/>
        <v>1</v>
      </c>
      <c r="AG4" s="20">
        <f t="shared" si="32"/>
        <v>0.32</v>
      </c>
      <c r="AH4" s="5">
        <f t="shared" si="33"/>
        <v>0</v>
      </c>
      <c r="AI4" s="5">
        <f t="shared" si="34"/>
        <v>0.72887323943661964</v>
      </c>
      <c r="AJ4" s="5">
        <f t="shared" si="35"/>
        <v>0.72887323943661964</v>
      </c>
      <c r="AK4" s="5">
        <f t="shared" si="36"/>
        <v>-0.2332394366197183</v>
      </c>
      <c r="AL4" s="315">
        <f t="shared" si="37"/>
        <v>-0.34415492957746474</v>
      </c>
      <c r="AM4" s="315">
        <f t="shared" si="38"/>
        <v>0.11091549295774647</v>
      </c>
      <c r="AN4" s="315">
        <f t="shared" si="39"/>
        <v>8</v>
      </c>
      <c r="AO4" s="21">
        <f t="shared" si="40"/>
        <v>1.3864436619718309E-2</v>
      </c>
      <c r="AP4" s="314">
        <f t="shared" si="41"/>
        <v>-17</v>
      </c>
      <c r="AQ4" s="315">
        <f t="shared" si="42"/>
        <v>-0.53873239436619713</v>
      </c>
      <c r="AR4" s="314">
        <f t="shared" si="43"/>
        <v>79</v>
      </c>
      <c r="AS4" s="315">
        <f t="shared" si="44"/>
        <v>2.503521126760563</v>
      </c>
      <c r="AT4" s="318">
        <f t="shared" si="45"/>
        <v>-4.6470588235294121</v>
      </c>
      <c r="AU4" s="326">
        <f t="shared" si="46"/>
        <v>4</v>
      </c>
      <c r="AV4" s="314" t="str">
        <f t="shared" si="47"/>
        <v>342,4 km</v>
      </c>
      <c r="AW4" s="314">
        <f t="shared" si="48"/>
        <v>7.36</v>
      </c>
      <c r="AX4" s="329">
        <f t="shared" si="49"/>
        <v>0</v>
      </c>
      <c r="AY4" s="315">
        <f t="shared" si="50"/>
        <v>0.2332394366197183</v>
      </c>
      <c r="AZ4" s="20">
        <f t="shared" si="51"/>
        <v>1.0000000000000001E-5</v>
      </c>
      <c r="BA4" s="2">
        <f t="shared" si="52"/>
        <v>77</v>
      </c>
      <c r="BB4" s="2">
        <f t="shared" si="53"/>
        <v>33</v>
      </c>
      <c r="BC4" s="5">
        <f t="shared" si="54"/>
        <v>2.4401408450704225</v>
      </c>
      <c r="BD4" s="5">
        <f t="shared" si="55"/>
        <v>1.045774647887324</v>
      </c>
      <c r="BE4" s="2">
        <f t="shared" si="56"/>
        <v>44</v>
      </c>
      <c r="BF4" s="107">
        <f t="shared" si="57"/>
        <v>0.42857142857142855</v>
      </c>
      <c r="BG4" s="107">
        <f t="shared" si="58"/>
        <v>0.5714285714285714</v>
      </c>
      <c r="BH4" s="338">
        <f t="shared" si="59"/>
        <v>3</v>
      </c>
      <c r="BI4" s="315">
        <f t="shared" si="60"/>
        <v>9.5070422535211266E-2</v>
      </c>
      <c r="BJ4" s="6">
        <f t="shared" si="61"/>
        <v>36</v>
      </c>
      <c r="BK4" s="5">
        <f t="shared" si="62"/>
        <v>1.1408450704225352</v>
      </c>
      <c r="BL4" s="6">
        <f t="shared" si="63"/>
        <v>-108</v>
      </c>
      <c r="BM4" s="5">
        <f t="shared" si="64"/>
        <v>-3.4225352112676055</v>
      </c>
      <c r="BN4" s="6">
        <f t="shared" si="65"/>
        <v>144</v>
      </c>
      <c r="BO4" s="5">
        <f t="shared" si="66"/>
        <v>4.563380281690141</v>
      </c>
      <c r="BP4" s="6">
        <f t="shared" si="67"/>
        <v>144</v>
      </c>
      <c r="BQ4" s="5">
        <f t="shared" si="68"/>
        <v>4.563380281690141</v>
      </c>
      <c r="BR4" s="21">
        <f t="shared" si="69"/>
        <v>4</v>
      </c>
      <c r="BS4" s="5">
        <f t="shared" si="70"/>
        <v>100</v>
      </c>
      <c r="BT4" s="5">
        <f t="shared" si="71"/>
        <v>0</v>
      </c>
      <c r="BU4" s="5">
        <f t="shared" si="72"/>
        <v>0</v>
      </c>
      <c r="BV4" s="107">
        <f t="shared" si="73"/>
        <v>0</v>
      </c>
      <c r="BW4" s="5">
        <f t="shared" si="74"/>
        <v>0</v>
      </c>
      <c r="BX4" s="5">
        <f t="shared" si="75"/>
        <v>0.24718309859154927</v>
      </c>
      <c r="BY4" s="5">
        <f t="shared" si="76"/>
        <v>0</v>
      </c>
      <c r="BZ4" s="276">
        <f t="shared" si="77"/>
        <v>-0.24718309859154927</v>
      </c>
      <c r="CA4" s="275">
        <f t="shared" si="78"/>
        <v>0</v>
      </c>
      <c r="CB4" s="5">
        <f t="shared" si="79"/>
        <v>78.888888888888886</v>
      </c>
      <c r="CC4" s="5">
        <f t="shared" si="80"/>
        <v>19.722222222222221</v>
      </c>
      <c r="CD4" s="5">
        <f t="shared" si="81"/>
        <v>2840</v>
      </c>
      <c r="CE4" s="5">
        <f t="shared" si="82"/>
        <v>123.47826086956522</v>
      </c>
      <c r="CF4" s="5">
        <f t="shared" si="83"/>
        <v>-7.8</v>
      </c>
      <c r="CG4" s="5">
        <f t="shared" si="84"/>
        <v>-7.36</v>
      </c>
      <c r="CH4" s="5">
        <f t="shared" si="85"/>
        <v>7.8</v>
      </c>
      <c r="CI4" s="5">
        <f t="shared" si="86"/>
        <v>0.24718309859154927</v>
      </c>
      <c r="CJ4" s="5">
        <f t="shared" si="87"/>
        <v>0</v>
      </c>
      <c r="CK4" s="5">
        <f t="shared" si="88"/>
        <v>0</v>
      </c>
      <c r="CL4" s="5">
        <f t="shared" si="89"/>
        <v>2.13</v>
      </c>
      <c r="CM4" s="5">
        <f t="shared" si="90"/>
        <v>6.7499999999999991E-2</v>
      </c>
      <c r="CN4" s="5">
        <f t="shared" si="91"/>
        <v>2.13</v>
      </c>
      <c r="CO4" s="5">
        <f t="shared" si="92"/>
        <v>6.7499999999999991E-2</v>
      </c>
      <c r="CP4" s="21">
        <f t="shared" si="93"/>
        <v>0</v>
      </c>
      <c r="CQ4" s="6">
        <f t="shared" si="94"/>
        <v>980</v>
      </c>
      <c r="CR4" s="5">
        <f t="shared" si="95"/>
        <v>31.056338028169012</v>
      </c>
      <c r="CS4" s="5">
        <f t="shared" si="96"/>
        <v>2.13</v>
      </c>
      <c r="CT4" s="5">
        <f t="shared" si="97"/>
        <v>-20.87</v>
      </c>
      <c r="CU4" s="6">
        <f t="shared" si="98"/>
        <v>21</v>
      </c>
      <c r="CV4" s="5">
        <f t="shared" si="99"/>
        <v>0.66549295774647887</v>
      </c>
      <c r="CW4" s="6">
        <f t="shared" si="100"/>
        <v>0</v>
      </c>
      <c r="CX4" s="5">
        <f t="shared" si="101"/>
        <v>0</v>
      </c>
      <c r="CY4" s="21">
        <f t="shared" si="102"/>
        <v>0</v>
      </c>
      <c r="CZ4" s="340">
        <f t="shared" si="103"/>
        <v>37</v>
      </c>
      <c r="DA4" s="341">
        <f t="shared" si="104"/>
        <v>1.1725352112676055</v>
      </c>
      <c r="DB4" s="207">
        <f t="shared" si="105"/>
        <v>0</v>
      </c>
      <c r="DC4" s="2">
        <f t="shared" si="106"/>
        <v>46</v>
      </c>
      <c r="DD4" s="5">
        <f t="shared" si="107"/>
        <v>1.4577464788732393</v>
      </c>
      <c r="DE4" s="2">
        <f t="shared" si="108"/>
        <v>5</v>
      </c>
      <c r="DF4" s="5">
        <f t="shared" si="109"/>
        <v>0.1584507042253521</v>
      </c>
      <c r="DG4" s="107">
        <f t="shared" si="110"/>
        <v>0.10869565217391304</v>
      </c>
      <c r="DH4" s="6">
        <f t="shared" si="111"/>
        <v>6</v>
      </c>
      <c r="DI4" s="5">
        <f t="shared" si="112"/>
        <v>0.19014084507042253</v>
      </c>
      <c r="DJ4" s="6">
        <f t="shared" si="113"/>
        <v>236</v>
      </c>
      <c r="DK4" s="5">
        <f t="shared" si="114"/>
        <v>7.4788732394366191</v>
      </c>
      <c r="DL4" s="5">
        <f t="shared" si="115"/>
        <v>0</v>
      </c>
      <c r="DM4" s="5">
        <f t="shared" si="116"/>
        <v>0</v>
      </c>
      <c r="DN4" s="314">
        <f t="shared" si="117"/>
        <v>0</v>
      </c>
      <c r="DO4" s="339">
        <f t="shared" si="118"/>
        <v>0</v>
      </c>
      <c r="DP4" s="6" t="e">
        <f t="shared" si="119"/>
        <v>#VALUE!</v>
      </c>
      <c r="DQ4" s="5">
        <f t="shared" si="120"/>
        <v>0</v>
      </c>
      <c r="DR4" s="6">
        <f t="shared" si="121"/>
        <v>1427.36</v>
      </c>
      <c r="DS4" s="5">
        <f t="shared" si="122"/>
        <v>45.233239436619712</v>
      </c>
      <c r="DT4" s="208">
        <f t="shared" si="123"/>
        <v>126.22222222222223</v>
      </c>
      <c r="DU4" s="5">
        <f t="shared" si="124"/>
        <v>4</v>
      </c>
      <c r="DV4" s="21">
        <f t="shared" si="125"/>
        <v>0</v>
      </c>
      <c r="DW4" s="6">
        <f t="shared" si="126"/>
        <v>1145.1300000000001</v>
      </c>
      <c r="DX4" s="5">
        <f t="shared" si="127"/>
        <v>36.289330985915491</v>
      </c>
      <c r="DY4" s="5">
        <f t="shared" si="128"/>
        <v>0</v>
      </c>
      <c r="DZ4" s="178">
        <f t="shared" si="129"/>
        <v>1074</v>
      </c>
      <c r="EA4" s="5">
        <f t="shared" si="130"/>
        <v>34.035211267605632</v>
      </c>
      <c r="EB4" s="6">
        <f t="shared" si="131"/>
        <v>1161</v>
      </c>
      <c r="EC4" s="5">
        <f t="shared" si="132"/>
        <v>36.79225352112676</v>
      </c>
      <c r="ED4" s="21">
        <f t="shared" si="133"/>
        <v>1.0810055865921788</v>
      </c>
      <c r="EE4" s="6">
        <f t="shared" si="134"/>
        <v>0</v>
      </c>
      <c r="EF4" s="5">
        <f t="shared" si="135"/>
        <v>0</v>
      </c>
      <c r="EG4" s="6">
        <f t="shared" si="136"/>
        <v>1020</v>
      </c>
      <c r="EH4" s="5">
        <f t="shared" si="137"/>
        <v>32.323943661971832</v>
      </c>
      <c r="EI4" s="6">
        <f t="shared" si="138"/>
        <v>-6</v>
      </c>
      <c r="EJ4" s="5">
        <f t="shared" si="139"/>
        <v>-0.19014084507042253</v>
      </c>
      <c r="EK4" s="5">
        <f t="shared" si="140"/>
        <v>4</v>
      </c>
      <c r="EL4" s="5">
        <f t="shared" si="141"/>
        <v>7.59</v>
      </c>
      <c r="EM4" s="296" t="s">
        <v>19</v>
      </c>
      <c r="EN4" s="292" t="s">
        <v>1021</v>
      </c>
      <c r="EO4" s="292" t="s">
        <v>1043</v>
      </c>
      <c r="EP4" s="292">
        <v>25</v>
      </c>
      <c r="EQ4" s="292" t="s">
        <v>1038</v>
      </c>
      <c r="ER4" s="292" t="s">
        <v>1022</v>
      </c>
      <c r="ES4" s="292" t="s">
        <v>607</v>
      </c>
      <c r="ET4" s="292" t="s">
        <v>1044</v>
      </c>
      <c r="EU4" s="292" t="s">
        <v>1045</v>
      </c>
      <c r="EV4" s="293">
        <v>49125</v>
      </c>
      <c r="EW4" s="292">
        <v>2840</v>
      </c>
      <c r="EX4" s="292" t="s">
        <v>1046</v>
      </c>
      <c r="EY4" s="292">
        <v>6</v>
      </c>
      <c r="EZ4" s="292">
        <v>0</v>
      </c>
      <c r="FA4" s="292">
        <v>23</v>
      </c>
      <c r="FB4" s="292">
        <v>4</v>
      </c>
      <c r="FC4" s="292">
        <v>3</v>
      </c>
      <c r="FD4" s="292">
        <v>0</v>
      </c>
      <c r="FE4" s="292">
        <v>4</v>
      </c>
      <c r="FF4" s="292">
        <v>7.8</v>
      </c>
      <c r="FG4" s="292" t="s">
        <v>1047</v>
      </c>
      <c r="FH4" s="292">
        <v>30</v>
      </c>
      <c r="FI4" s="292">
        <v>236</v>
      </c>
      <c r="FJ4" s="292">
        <v>102</v>
      </c>
      <c r="FK4" s="292">
        <v>0</v>
      </c>
      <c r="FL4" s="292">
        <v>980</v>
      </c>
      <c r="FM4" s="292">
        <v>855</v>
      </c>
      <c r="FN4" s="292">
        <v>37</v>
      </c>
      <c r="FO4" s="292">
        <v>36</v>
      </c>
      <c r="FP4" s="292">
        <v>144</v>
      </c>
      <c r="FQ4" s="292">
        <v>77</v>
      </c>
      <c r="FR4" s="292">
        <v>33</v>
      </c>
      <c r="FS4" s="292">
        <v>13</v>
      </c>
      <c r="FT4" s="292">
        <v>5</v>
      </c>
      <c r="FU4" s="292">
        <v>3</v>
      </c>
      <c r="FV4" s="292">
        <v>0</v>
      </c>
      <c r="FW4" s="292">
        <v>6</v>
      </c>
      <c r="FX4" s="292">
        <v>21</v>
      </c>
      <c r="FY4" s="292">
        <v>0</v>
      </c>
      <c r="FZ4" s="292">
        <v>4</v>
      </c>
      <c r="GA4" s="292">
        <v>79</v>
      </c>
      <c r="GB4" s="292">
        <v>3.5</v>
      </c>
      <c r="GC4" s="292">
        <v>8</v>
      </c>
      <c r="GD4" s="292">
        <v>4</v>
      </c>
      <c r="GE4" s="292">
        <v>3</v>
      </c>
      <c r="GF4" s="292" t="s">
        <v>1048</v>
      </c>
      <c r="GG4" s="297">
        <v>7.36</v>
      </c>
      <c r="GH4" s="292">
        <v>0</v>
      </c>
      <c r="GI4" s="292" t="s">
        <v>926</v>
      </c>
      <c r="GJ4" s="297">
        <v>7.59</v>
      </c>
    </row>
    <row r="5" spans="1:192" ht="24.95" customHeight="1" thickBot="1" x14ac:dyDescent="0.3">
      <c r="A5" s="29" t="str">
        <f t="shared" si="0"/>
        <v>4º</v>
      </c>
      <c r="B5" s="69" t="str">
        <f t="shared" si="1"/>
        <v>Jarrod Bowen</v>
      </c>
      <c r="C5" s="86" t="str">
        <f t="shared" si="2"/>
        <v>ENG</v>
      </c>
      <c r="D5" s="99" t="str">
        <f t="shared" si="3"/>
        <v>Pé Esquerdo</v>
      </c>
      <c r="E5" s="28" t="str">
        <f t="shared" si="4"/>
        <v>West Ham</v>
      </c>
      <c r="F5" s="165">
        <f t="shared" si="5"/>
        <v>1.74</v>
      </c>
      <c r="G5" s="148">
        <f t="shared" si="6"/>
        <v>47664</v>
      </c>
      <c r="H5" s="167">
        <f t="shared" si="7"/>
        <v>29</v>
      </c>
      <c r="I5" s="200" t="str">
        <f t="shared" si="8"/>
        <v>€632m p/m</v>
      </c>
      <c r="J5" s="186" t="str">
        <f t="shared" si="9"/>
        <v>€58M - €88M</v>
      </c>
      <c r="K5" s="96">
        <f t="shared" si="10"/>
        <v>28.532222222222224</v>
      </c>
      <c r="L5" s="144">
        <f t="shared" si="11"/>
        <v>29.722222222222221</v>
      </c>
      <c r="M5" s="144">
        <f t="shared" si="12"/>
        <v>31</v>
      </c>
      <c r="N5" s="144">
        <f t="shared" si="13"/>
        <v>86.290322580645167</v>
      </c>
      <c r="O5" s="184">
        <f t="shared" si="14"/>
        <v>1</v>
      </c>
      <c r="P5" s="2">
        <f t="shared" si="15"/>
        <v>1</v>
      </c>
      <c r="Q5" s="5">
        <f t="shared" si="16"/>
        <v>0</v>
      </c>
      <c r="R5" s="5">
        <f t="shared" si="17"/>
        <v>0</v>
      </c>
      <c r="S5" s="5">
        <f t="shared" si="18"/>
        <v>0.30280373831775703</v>
      </c>
      <c r="T5" s="5">
        <f t="shared" si="19"/>
        <v>0.30280373831775703</v>
      </c>
      <c r="U5" s="6">
        <f t="shared" si="20"/>
        <v>4</v>
      </c>
      <c r="V5" s="24">
        <f t="shared" si="21"/>
        <v>668.75</v>
      </c>
      <c r="W5" s="21">
        <f t="shared" si="22"/>
        <v>0.13457943925233645</v>
      </c>
      <c r="X5" s="2">
        <f t="shared" si="23"/>
        <v>0</v>
      </c>
      <c r="Y5" s="2">
        <f t="shared" si="24"/>
        <v>9</v>
      </c>
      <c r="Z5" s="2">
        <f t="shared" si="25"/>
        <v>9</v>
      </c>
      <c r="AA5" s="353">
        <f t="shared" si="26"/>
        <v>-12.64</v>
      </c>
      <c r="AB5" s="353">
        <f t="shared" si="27"/>
        <v>5.5</v>
      </c>
      <c r="AC5" s="354">
        <f t="shared" si="28"/>
        <v>7.14</v>
      </c>
      <c r="AD5" s="6">
        <f t="shared" si="29"/>
        <v>-7.14</v>
      </c>
      <c r="AE5" s="20">
        <f t="shared" si="30"/>
        <v>0</v>
      </c>
      <c r="AF5" s="20">
        <f t="shared" si="31"/>
        <v>1</v>
      </c>
      <c r="AG5" s="20">
        <f t="shared" si="32"/>
        <v>0.79333333333333333</v>
      </c>
      <c r="AH5" s="5">
        <f t="shared" si="33"/>
        <v>0</v>
      </c>
      <c r="AI5" s="5">
        <f t="shared" si="34"/>
        <v>0.30280373831775703</v>
      </c>
      <c r="AJ5" s="5">
        <f t="shared" si="35"/>
        <v>0.30280373831775703</v>
      </c>
      <c r="AK5" s="5">
        <f t="shared" si="36"/>
        <v>-0.24022429906542056</v>
      </c>
      <c r="AL5" s="315">
        <f t="shared" si="37"/>
        <v>-0.4252710280373832</v>
      </c>
      <c r="AM5" s="315">
        <f t="shared" si="38"/>
        <v>0.18504672897196262</v>
      </c>
      <c r="AN5" s="315">
        <f t="shared" si="39"/>
        <v>1</v>
      </c>
      <c r="AO5" s="21">
        <f t="shared" si="40"/>
        <v>0.18504672897196262</v>
      </c>
      <c r="AP5" s="314">
        <f t="shared" si="41"/>
        <v>-62</v>
      </c>
      <c r="AQ5" s="315">
        <f t="shared" si="42"/>
        <v>-2.0859813084112151</v>
      </c>
      <c r="AR5" s="314">
        <f t="shared" si="43"/>
        <v>32</v>
      </c>
      <c r="AS5" s="315">
        <f t="shared" si="44"/>
        <v>1.0766355140186916</v>
      </c>
      <c r="AT5" s="318">
        <f t="shared" si="45"/>
        <v>-0.5161290322580645</v>
      </c>
      <c r="AU5" s="326">
        <f t="shared" si="46"/>
        <v>0</v>
      </c>
      <c r="AV5" s="314" t="str">
        <f t="shared" si="47"/>
        <v>363,4 km</v>
      </c>
      <c r="AW5" s="314">
        <f t="shared" si="48"/>
        <v>7.14</v>
      </c>
      <c r="AX5" s="329">
        <f t="shared" si="49"/>
        <v>0</v>
      </c>
      <c r="AY5" s="315">
        <f t="shared" si="50"/>
        <v>0.24022429906542056</v>
      </c>
      <c r="AZ5" s="20">
        <f t="shared" si="51"/>
        <v>1.0000000000000001E-5</v>
      </c>
      <c r="BA5" s="2">
        <f t="shared" si="52"/>
        <v>28</v>
      </c>
      <c r="BB5" s="2">
        <f t="shared" si="53"/>
        <v>307</v>
      </c>
      <c r="BC5" s="5">
        <f t="shared" si="54"/>
        <v>0.94205607476635511</v>
      </c>
      <c r="BD5" s="5">
        <f t="shared" si="55"/>
        <v>10.328971962616823</v>
      </c>
      <c r="BE5" s="2">
        <f t="shared" si="56"/>
        <v>-279</v>
      </c>
      <c r="BF5" s="107">
        <f t="shared" si="57"/>
        <v>10.964285714285714</v>
      </c>
      <c r="BG5" s="107">
        <f t="shared" si="58"/>
        <v>-9.9642857142857135</v>
      </c>
      <c r="BH5" s="338">
        <f t="shared" si="59"/>
        <v>0</v>
      </c>
      <c r="BI5" s="315">
        <f t="shared" si="60"/>
        <v>0</v>
      </c>
      <c r="BJ5" s="6">
        <f t="shared" si="61"/>
        <v>124</v>
      </c>
      <c r="BK5" s="5">
        <f t="shared" si="62"/>
        <v>4.1719626168224302</v>
      </c>
      <c r="BL5" s="6">
        <f t="shared" si="63"/>
        <v>65</v>
      </c>
      <c r="BM5" s="5">
        <f t="shared" si="64"/>
        <v>2.1869158878504673</v>
      </c>
      <c r="BN5" s="6">
        <f t="shared" si="65"/>
        <v>59</v>
      </c>
      <c r="BO5" s="5">
        <f t="shared" si="66"/>
        <v>1.9850467289719627</v>
      </c>
      <c r="BP5" s="6">
        <f t="shared" si="67"/>
        <v>59</v>
      </c>
      <c r="BQ5" s="5">
        <f t="shared" si="68"/>
        <v>1.9850467289719627</v>
      </c>
      <c r="BR5" s="21">
        <f t="shared" si="69"/>
        <v>0.47580645161290325</v>
      </c>
      <c r="BS5" s="5">
        <f t="shared" si="70"/>
        <v>100</v>
      </c>
      <c r="BT5" s="5">
        <f t="shared" si="71"/>
        <v>0</v>
      </c>
      <c r="BU5" s="5">
        <f t="shared" si="72"/>
        <v>0</v>
      </c>
      <c r="BV5" s="107">
        <f t="shared" si="73"/>
        <v>0</v>
      </c>
      <c r="BW5" s="5">
        <f t="shared" si="74"/>
        <v>0</v>
      </c>
      <c r="BX5" s="5">
        <f t="shared" si="75"/>
        <v>0.50467289719626174</v>
      </c>
      <c r="BY5" s="5">
        <f t="shared" si="76"/>
        <v>0</v>
      </c>
      <c r="BZ5" s="276">
        <f t="shared" si="77"/>
        <v>-0.50467289719626174</v>
      </c>
      <c r="CA5" s="275">
        <f t="shared" si="78"/>
        <v>0</v>
      </c>
      <c r="CB5" s="5">
        <f t="shared" si="79"/>
        <v>21.572580645161292</v>
      </c>
      <c r="CC5" s="5">
        <f t="shared" si="80"/>
        <v>45.33898305084746</v>
      </c>
      <c r="CD5" s="5">
        <f t="shared" si="81"/>
        <v>2675</v>
      </c>
      <c r="CE5" s="5">
        <f t="shared" si="82"/>
        <v>297.22222222222223</v>
      </c>
      <c r="CF5" s="5">
        <f t="shared" si="83"/>
        <v>-15</v>
      </c>
      <c r="CG5" s="5">
        <f t="shared" si="84"/>
        <v>-7.14</v>
      </c>
      <c r="CH5" s="5">
        <f t="shared" si="85"/>
        <v>15</v>
      </c>
      <c r="CI5" s="5">
        <f t="shared" si="86"/>
        <v>0.50467289719626174</v>
      </c>
      <c r="CJ5" s="5">
        <f t="shared" si="87"/>
        <v>0</v>
      </c>
      <c r="CK5" s="5">
        <f t="shared" si="88"/>
        <v>0</v>
      </c>
      <c r="CL5" s="5">
        <f t="shared" si="89"/>
        <v>9.25</v>
      </c>
      <c r="CM5" s="5">
        <f t="shared" si="90"/>
        <v>0.31121495327102805</v>
      </c>
      <c r="CN5" s="5">
        <f t="shared" si="91"/>
        <v>9.25</v>
      </c>
      <c r="CO5" s="5">
        <f t="shared" si="92"/>
        <v>0.31121495327102805</v>
      </c>
      <c r="CP5" s="21">
        <f t="shared" si="93"/>
        <v>0</v>
      </c>
      <c r="CQ5" s="6">
        <f t="shared" si="94"/>
        <v>1586</v>
      </c>
      <c r="CR5" s="5">
        <f t="shared" si="95"/>
        <v>53.3607476635514</v>
      </c>
      <c r="CS5" s="5">
        <f t="shared" si="96"/>
        <v>9.25</v>
      </c>
      <c r="CT5" s="5">
        <f t="shared" si="97"/>
        <v>0.25</v>
      </c>
      <c r="CU5" s="6">
        <f t="shared" si="98"/>
        <v>76</v>
      </c>
      <c r="CV5" s="5">
        <f t="shared" si="99"/>
        <v>2.5570093457943925</v>
      </c>
      <c r="CW5" s="6">
        <f t="shared" si="100"/>
        <v>0</v>
      </c>
      <c r="CX5" s="5">
        <f t="shared" si="101"/>
        <v>0</v>
      </c>
      <c r="CY5" s="21">
        <f t="shared" si="102"/>
        <v>0</v>
      </c>
      <c r="CZ5" s="340">
        <f t="shared" si="103"/>
        <v>65</v>
      </c>
      <c r="DA5" s="341">
        <f t="shared" si="104"/>
        <v>2.1869158878504673</v>
      </c>
      <c r="DB5" s="207">
        <f t="shared" si="105"/>
        <v>0</v>
      </c>
      <c r="DC5" s="2">
        <f t="shared" si="106"/>
        <v>166</v>
      </c>
      <c r="DD5" s="5">
        <f t="shared" si="107"/>
        <v>5.585046728971963</v>
      </c>
      <c r="DE5" s="2">
        <f t="shared" si="108"/>
        <v>66</v>
      </c>
      <c r="DF5" s="5">
        <f t="shared" si="109"/>
        <v>2.2205607476635514</v>
      </c>
      <c r="DG5" s="107">
        <f t="shared" si="110"/>
        <v>0.39759036144578314</v>
      </c>
      <c r="DH5" s="6">
        <f t="shared" si="111"/>
        <v>5</v>
      </c>
      <c r="DI5" s="5">
        <f t="shared" si="112"/>
        <v>0.16822429906542055</v>
      </c>
      <c r="DJ5" s="6">
        <f t="shared" si="113"/>
        <v>71</v>
      </c>
      <c r="DK5" s="5">
        <f t="shared" si="114"/>
        <v>2.3887850467289722</v>
      </c>
      <c r="DL5" s="5" t="e">
        <f t="shared" si="115"/>
        <v>#VALUE!</v>
      </c>
      <c r="DM5" s="5">
        <f t="shared" si="116"/>
        <v>0</v>
      </c>
      <c r="DN5" s="314">
        <f t="shared" si="117"/>
        <v>0</v>
      </c>
      <c r="DO5" s="339">
        <f t="shared" si="118"/>
        <v>0</v>
      </c>
      <c r="DP5" s="6" t="e">
        <f t="shared" si="119"/>
        <v>#VALUE!</v>
      </c>
      <c r="DQ5" s="5">
        <f t="shared" si="120"/>
        <v>0</v>
      </c>
      <c r="DR5" s="6">
        <f t="shared" si="121"/>
        <v>1797.14</v>
      </c>
      <c r="DS5" s="5">
        <f t="shared" si="122"/>
        <v>60.464523364485984</v>
      </c>
      <c r="DT5" s="208">
        <f t="shared" si="123"/>
        <v>505.27777777777777</v>
      </c>
      <c r="DU5" s="5">
        <f t="shared" si="124"/>
        <v>17</v>
      </c>
      <c r="DV5" s="21">
        <f t="shared" si="125"/>
        <v>0</v>
      </c>
      <c r="DW5" s="6">
        <f t="shared" si="126"/>
        <v>1668.25</v>
      </c>
      <c r="DX5" s="5">
        <f t="shared" si="127"/>
        <v>56.128037383177571</v>
      </c>
      <c r="DY5" s="5">
        <f t="shared" si="128"/>
        <v>0</v>
      </c>
      <c r="DZ5" s="178">
        <f t="shared" si="129"/>
        <v>1851</v>
      </c>
      <c r="EA5" s="5">
        <f t="shared" si="130"/>
        <v>62.276635514018693</v>
      </c>
      <c r="EB5" s="6">
        <f t="shared" si="131"/>
        <v>1710</v>
      </c>
      <c r="EC5" s="5">
        <f t="shared" si="132"/>
        <v>57.532710280373834</v>
      </c>
      <c r="ED5" s="21">
        <f t="shared" si="133"/>
        <v>0.92382495948136145</v>
      </c>
      <c r="EE5" s="6">
        <f t="shared" si="134"/>
        <v>0</v>
      </c>
      <c r="EF5" s="5">
        <f t="shared" si="135"/>
        <v>0</v>
      </c>
      <c r="EG5" s="6">
        <f t="shared" si="136"/>
        <v>1714</v>
      </c>
      <c r="EH5" s="5">
        <f t="shared" si="137"/>
        <v>57.667289719626169</v>
      </c>
      <c r="EI5" s="6">
        <f t="shared" si="138"/>
        <v>80.900000000000006</v>
      </c>
      <c r="EJ5" s="5">
        <f t="shared" si="139"/>
        <v>2.7218691588785049</v>
      </c>
      <c r="EK5" s="5">
        <f t="shared" si="140"/>
        <v>17</v>
      </c>
      <c r="EL5" s="5">
        <f t="shared" si="141"/>
        <v>0</v>
      </c>
      <c r="EM5" s="296"/>
      <c r="EN5" s="292" t="s">
        <v>641</v>
      </c>
      <c r="EO5" s="292" t="s">
        <v>1088</v>
      </c>
      <c r="EP5" s="292">
        <v>29</v>
      </c>
      <c r="EQ5" s="292" t="s">
        <v>1089</v>
      </c>
      <c r="ER5" s="292" t="s">
        <v>802</v>
      </c>
      <c r="ES5" s="292" t="s">
        <v>607</v>
      </c>
      <c r="ET5" s="292" t="s">
        <v>1090</v>
      </c>
      <c r="EU5" s="292" t="s">
        <v>1091</v>
      </c>
      <c r="EV5" s="293">
        <v>47664</v>
      </c>
      <c r="EW5" s="292">
        <v>2675</v>
      </c>
      <c r="EX5" s="292">
        <v>31</v>
      </c>
      <c r="EY5" s="292">
        <v>4</v>
      </c>
      <c r="EZ5" s="292">
        <v>0</v>
      </c>
      <c r="FA5" s="292">
        <v>9</v>
      </c>
      <c r="FB5" s="292">
        <v>4</v>
      </c>
      <c r="FC5" s="292">
        <v>1</v>
      </c>
      <c r="FD5" s="292">
        <v>0</v>
      </c>
      <c r="FE5" s="292">
        <v>17</v>
      </c>
      <c r="FF5" s="292">
        <v>15</v>
      </c>
      <c r="FG5" s="292" t="s">
        <v>1092</v>
      </c>
      <c r="FH5" s="292">
        <v>21</v>
      </c>
      <c r="FI5" s="292">
        <v>71</v>
      </c>
      <c r="FJ5" s="292">
        <v>16</v>
      </c>
      <c r="FK5" s="292">
        <v>0.1</v>
      </c>
      <c r="FL5" s="292">
        <v>1586</v>
      </c>
      <c r="FM5" s="292">
        <v>1393</v>
      </c>
      <c r="FN5" s="292">
        <v>65</v>
      </c>
      <c r="FO5" s="292">
        <v>124</v>
      </c>
      <c r="FP5" s="292">
        <v>59</v>
      </c>
      <c r="FQ5" s="292">
        <v>28</v>
      </c>
      <c r="FR5" s="292">
        <v>307</v>
      </c>
      <c r="FS5" s="292">
        <v>86</v>
      </c>
      <c r="FT5" s="292">
        <v>64</v>
      </c>
      <c r="FU5" s="292">
        <v>59</v>
      </c>
      <c r="FV5" s="292">
        <v>2</v>
      </c>
      <c r="FW5" s="292">
        <v>5</v>
      </c>
      <c r="FX5" s="292">
        <v>76</v>
      </c>
      <c r="FY5" s="292">
        <v>0</v>
      </c>
      <c r="FZ5" s="292">
        <v>14</v>
      </c>
      <c r="GA5" s="292">
        <v>32</v>
      </c>
      <c r="GB5" s="292">
        <v>5.5</v>
      </c>
      <c r="GC5" s="292">
        <v>1</v>
      </c>
      <c r="GD5" s="292">
        <v>0</v>
      </c>
      <c r="GE5" s="292">
        <v>0</v>
      </c>
      <c r="GF5" s="292" t="s">
        <v>1093</v>
      </c>
      <c r="GG5" s="297">
        <v>7.14</v>
      </c>
      <c r="GH5" s="398"/>
      <c r="GI5" s="398"/>
      <c r="GJ5" s="401"/>
    </row>
    <row r="6" spans="1:192" ht="24.95" customHeight="1" thickBot="1" x14ac:dyDescent="0.3">
      <c r="A6" s="29" t="str">
        <f t="shared" si="0"/>
        <v>5º</v>
      </c>
      <c r="B6" s="69" t="str">
        <f t="shared" si="1"/>
        <v>Jérémy Doku</v>
      </c>
      <c r="C6" s="86" t="str">
        <f t="shared" si="2"/>
        <v>BEL</v>
      </c>
      <c r="D6" s="99" t="str">
        <f t="shared" si="3"/>
        <v>Pé Direito</v>
      </c>
      <c r="E6" s="28" t="str">
        <f t="shared" si="4"/>
        <v>Manchester City</v>
      </c>
      <c r="F6" s="165">
        <f t="shared" si="5"/>
        <v>1.71</v>
      </c>
      <c r="G6" s="148">
        <f t="shared" si="6"/>
        <v>46934</v>
      </c>
      <c r="H6" s="167">
        <f t="shared" si="7"/>
        <v>23</v>
      </c>
      <c r="I6" s="200" t="str">
        <f t="shared" si="8"/>
        <v>€316m p/m</v>
      </c>
      <c r="J6" s="186" t="str">
        <f t="shared" si="9"/>
        <v>€119M - €150M</v>
      </c>
      <c r="K6" s="96">
        <f t="shared" si="10"/>
        <v>28.532222222222224</v>
      </c>
      <c r="L6" s="144">
        <f t="shared" si="11"/>
        <v>28.977777777777778</v>
      </c>
      <c r="M6" s="144">
        <f t="shared" si="12"/>
        <v>35</v>
      </c>
      <c r="N6" s="144">
        <f t="shared" si="13"/>
        <v>74.51428571428572</v>
      </c>
      <c r="O6" s="184">
        <f t="shared" si="14"/>
        <v>1</v>
      </c>
      <c r="P6" s="2">
        <f t="shared" si="15"/>
        <v>1</v>
      </c>
      <c r="Q6" s="5">
        <f t="shared" si="16"/>
        <v>0</v>
      </c>
      <c r="R6" s="5">
        <f t="shared" si="17"/>
        <v>0</v>
      </c>
      <c r="S6" s="5">
        <f t="shared" si="18"/>
        <v>0.31058282208588955</v>
      </c>
      <c r="T6" s="5">
        <f t="shared" si="19"/>
        <v>0.31058282208588955</v>
      </c>
      <c r="U6" s="6">
        <f t="shared" si="20"/>
        <v>6</v>
      </c>
      <c r="V6" s="24">
        <f t="shared" si="21"/>
        <v>434.66666666666669</v>
      </c>
      <c r="W6" s="21">
        <f t="shared" si="22"/>
        <v>0.20705521472392638</v>
      </c>
      <c r="X6" s="2">
        <f t="shared" si="23"/>
        <v>0</v>
      </c>
      <c r="Y6" s="2">
        <f t="shared" si="24"/>
        <v>9</v>
      </c>
      <c r="Z6" s="2">
        <f t="shared" si="25"/>
        <v>9</v>
      </c>
      <c r="AA6" s="353">
        <f t="shared" si="26"/>
        <v>-12.95</v>
      </c>
      <c r="AB6" s="353">
        <f t="shared" si="27"/>
        <v>5.6</v>
      </c>
      <c r="AC6" s="354">
        <f t="shared" si="28"/>
        <v>7.35</v>
      </c>
      <c r="AD6" s="6">
        <f t="shared" si="29"/>
        <v>-7.35</v>
      </c>
      <c r="AE6" s="20">
        <f t="shared" si="30"/>
        <v>0</v>
      </c>
      <c r="AF6" s="20">
        <f t="shared" si="31"/>
        <v>1</v>
      </c>
      <c r="AG6" s="20">
        <f t="shared" si="32"/>
        <v>0.81666666666666665</v>
      </c>
      <c r="AH6" s="5">
        <f t="shared" si="33"/>
        <v>0</v>
      </c>
      <c r="AI6" s="5">
        <f t="shared" si="34"/>
        <v>0.31058282208588955</v>
      </c>
      <c r="AJ6" s="5">
        <f t="shared" si="35"/>
        <v>0.31058282208588955</v>
      </c>
      <c r="AK6" s="5">
        <f t="shared" si="36"/>
        <v>-0.25364263803680981</v>
      </c>
      <c r="AL6" s="315">
        <f t="shared" si="37"/>
        <v>-0.44689417177914109</v>
      </c>
      <c r="AM6" s="315">
        <f t="shared" si="38"/>
        <v>0.19325153374233128</v>
      </c>
      <c r="AN6" s="315">
        <f t="shared" si="39"/>
        <v>0</v>
      </c>
      <c r="AO6" s="21">
        <f t="shared" si="40"/>
        <v>0</v>
      </c>
      <c r="AP6" s="314">
        <f t="shared" si="41"/>
        <v>-49</v>
      </c>
      <c r="AQ6" s="315">
        <f t="shared" si="42"/>
        <v>-1.6909509202453987</v>
      </c>
      <c r="AR6" s="314">
        <f t="shared" si="43"/>
        <v>25</v>
      </c>
      <c r="AS6" s="315">
        <f t="shared" si="44"/>
        <v>0.86273006134969321</v>
      </c>
      <c r="AT6" s="318">
        <f t="shared" si="45"/>
        <v>-0.51020408163265307</v>
      </c>
      <c r="AU6" s="326">
        <f t="shared" si="46"/>
        <v>0</v>
      </c>
      <c r="AV6" s="314" t="str">
        <f t="shared" si="47"/>
        <v>351,1 km</v>
      </c>
      <c r="AW6" s="314">
        <f t="shared" si="48"/>
        <v>7.35</v>
      </c>
      <c r="AX6" s="329">
        <f t="shared" si="49"/>
        <v>0</v>
      </c>
      <c r="AY6" s="315">
        <f t="shared" si="50"/>
        <v>0.25364263803680981</v>
      </c>
      <c r="AZ6" s="20">
        <f t="shared" si="51"/>
        <v>1.0000000000000001E-5</v>
      </c>
      <c r="BA6" s="2">
        <f t="shared" si="52"/>
        <v>38</v>
      </c>
      <c r="BB6" s="2">
        <f t="shared" si="53"/>
        <v>274</v>
      </c>
      <c r="BC6" s="5">
        <f t="shared" si="54"/>
        <v>1.3113496932515338</v>
      </c>
      <c r="BD6" s="5">
        <f t="shared" si="55"/>
        <v>9.455521472392638</v>
      </c>
      <c r="BE6" s="2">
        <f t="shared" si="56"/>
        <v>-236</v>
      </c>
      <c r="BF6" s="107">
        <f t="shared" si="57"/>
        <v>7.2105263157894735</v>
      </c>
      <c r="BG6" s="107">
        <f t="shared" si="58"/>
        <v>-6.2105263157894735</v>
      </c>
      <c r="BH6" s="338">
        <f t="shared" si="59"/>
        <v>0</v>
      </c>
      <c r="BI6" s="315">
        <f t="shared" si="60"/>
        <v>0</v>
      </c>
      <c r="BJ6" s="6">
        <f t="shared" si="61"/>
        <v>113</v>
      </c>
      <c r="BK6" s="5">
        <f t="shared" si="62"/>
        <v>3.8995398773006134</v>
      </c>
      <c r="BL6" s="6">
        <f t="shared" si="63"/>
        <v>36</v>
      </c>
      <c r="BM6" s="5">
        <f t="shared" si="64"/>
        <v>1.2423312883435582</v>
      </c>
      <c r="BN6" s="6">
        <f t="shared" si="65"/>
        <v>77</v>
      </c>
      <c r="BO6" s="5">
        <f t="shared" si="66"/>
        <v>2.6572085889570554</v>
      </c>
      <c r="BP6" s="6">
        <f t="shared" si="67"/>
        <v>77</v>
      </c>
      <c r="BQ6" s="5">
        <f t="shared" si="68"/>
        <v>2.6572085889570554</v>
      </c>
      <c r="BR6" s="21">
        <f t="shared" si="69"/>
        <v>0.68141592920353977</v>
      </c>
      <c r="BS6" s="5">
        <f t="shared" si="70"/>
        <v>100</v>
      </c>
      <c r="BT6" s="5">
        <f t="shared" si="71"/>
        <v>0</v>
      </c>
      <c r="BU6" s="5">
        <f t="shared" si="72"/>
        <v>0</v>
      </c>
      <c r="BV6" s="107">
        <f t="shared" si="73"/>
        <v>0</v>
      </c>
      <c r="BW6" s="5">
        <f t="shared" si="74"/>
        <v>0</v>
      </c>
      <c r="BX6" s="5">
        <f t="shared" si="75"/>
        <v>0.49693251533742333</v>
      </c>
      <c r="BY6" s="5">
        <f t="shared" si="76"/>
        <v>0</v>
      </c>
      <c r="BZ6" s="276">
        <f t="shared" si="77"/>
        <v>-0.49693251533742333</v>
      </c>
      <c r="CA6" s="275">
        <f t="shared" si="78"/>
        <v>0</v>
      </c>
      <c r="CB6" s="5">
        <f t="shared" si="79"/>
        <v>23.079646017699115</v>
      </c>
      <c r="CC6" s="5">
        <f t="shared" si="80"/>
        <v>33.870129870129873</v>
      </c>
      <c r="CD6" s="5">
        <f t="shared" si="81"/>
        <v>2608</v>
      </c>
      <c r="CE6" s="5">
        <f t="shared" si="82"/>
        <v>289.77777777777777</v>
      </c>
      <c r="CF6" s="5">
        <f t="shared" si="83"/>
        <v>-14.4</v>
      </c>
      <c r="CG6" s="5">
        <f t="shared" si="84"/>
        <v>-7.35</v>
      </c>
      <c r="CH6" s="5">
        <f t="shared" si="85"/>
        <v>14.4</v>
      </c>
      <c r="CI6" s="5">
        <f t="shared" si="86"/>
        <v>0.49693251533742333</v>
      </c>
      <c r="CJ6" s="5">
        <f t="shared" si="87"/>
        <v>0</v>
      </c>
      <c r="CK6" s="5">
        <f t="shared" si="88"/>
        <v>0</v>
      </c>
      <c r="CL6" s="5">
        <f t="shared" si="89"/>
        <v>3.27</v>
      </c>
      <c r="CM6" s="5">
        <f t="shared" si="90"/>
        <v>0.11284509202453988</v>
      </c>
      <c r="CN6" s="5">
        <f t="shared" si="91"/>
        <v>3.27</v>
      </c>
      <c r="CO6" s="5">
        <f t="shared" si="92"/>
        <v>0.11284509202453988</v>
      </c>
      <c r="CP6" s="21">
        <f t="shared" si="93"/>
        <v>0</v>
      </c>
      <c r="CQ6" s="6">
        <f t="shared" si="94"/>
        <v>1589</v>
      </c>
      <c r="CR6" s="5">
        <f t="shared" si="95"/>
        <v>54.835122699386503</v>
      </c>
      <c r="CS6" s="5">
        <f t="shared" si="96"/>
        <v>3.27</v>
      </c>
      <c r="CT6" s="5">
        <f t="shared" si="97"/>
        <v>-5.73</v>
      </c>
      <c r="CU6" s="6">
        <f t="shared" si="98"/>
        <v>67</v>
      </c>
      <c r="CV6" s="5">
        <f t="shared" si="99"/>
        <v>2.3121165644171779</v>
      </c>
      <c r="CW6" s="6">
        <f t="shared" si="100"/>
        <v>0</v>
      </c>
      <c r="CX6" s="5">
        <f t="shared" si="101"/>
        <v>0</v>
      </c>
      <c r="CY6" s="21">
        <f t="shared" si="102"/>
        <v>0</v>
      </c>
      <c r="CZ6" s="340">
        <f t="shared" si="103"/>
        <v>59</v>
      </c>
      <c r="DA6" s="341">
        <f t="shared" si="104"/>
        <v>2.0360429447852759</v>
      </c>
      <c r="DB6" s="207">
        <f t="shared" si="105"/>
        <v>0</v>
      </c>
      <c r="DC6" s="2">
        <f t="shared" si="106"/>
        <v>119</v>
      </c>
      <c r="DD6" s="5">
        <f t="shared" si="107"/>
        <v>4.1065950920245395</v>
      </c>
      <c r="DE6" s="2">
        <f t="shared" si="108"/>
        <v>49</v>
      </c>
      <c r="DF6" s="5">
        <f t="shared" si="109"/>
        <v>1.6909509202453987</v>
      </c>
      <c r="DG6" s="107">
        <f t="shared" si="110"/>
        <v>0.41176470588235292</v>
      </c>
      <c r="DH6" s="6">
        <f t="shared" si="111"/>
        <v>9</v>
      </c>
      <c r="DI6" s="5">
        <f t="shared" si="112"/>
        <v>0.31058282208588955</v>
      </c>
      <c r="DJ6" s="6">
        <f t="shared" si="113"/>
        <v>70</v>
      </c>
      <c r="DK6" s="5">
        <f t="shared" si="114"/>
        <v>2.415644171779141</v>
      </c>
      <c r="DL6" s="5" t="e">
        <f t="shared" si="115"/>
        <v>#VALUE!</v>
      </c>
      <c r="DM6" s="5">
        <f t="shared" si="116"/>
        <v>0</v>
      </c>
      <c r="DN6" s="314">
        <f t="shared" si="117"/>
        <v>0</v>
      </c>
      <c r="DO6" s="339">
        <f t="shared" si="118"/>
        <v>0</v>
      </c>
      <c r="DP6" s="6" t="e">
        <f t="shared" si="119"/>
        <v>#VALUE!</v>
      </c>
      <c r="DQ6" s="5">
        <f t="shared" si="120"/>
        <v>0</v>
      </c>
      <c r="DR6" s="6">
        <f t="shared" si="121"/>
        <v>1811.35</v>
      </c>
      <c r="DS6" s="5">
        <f t="shared" si="122"/>
        <v>62.508243865030671</v>
      </c>
      <c r="DT6" s="208">
        <f t="shared" si="123"/>
        <v>86.933333333333337</v>
      </c>
      <c r="DU6" s="5">
        <f t="shared" si="124"/>
        <v>3</v>
      </c>
      <c r="DV6" s="21">
        <f t="shared" si="125"/>
        <v>0</v>
      </c>
      <c r="DW6" s="6">
        <f t="shared" si="126"/>
        <v>1682.37</v>
      </c>
      <c r="DX6" s="5">
        <f t="shared" si="127"/>
        <v>58.057246932515334</v>
      </c>
      <c r="DY6" s="5">
        <f t="shared" si="128"/>
        <v>0</v>
      </c>
      <c r="DZ6" s="178">
        <f t="shared" si="129"/>
        <v>1828</v>
      </c>
      <c r="EA6" s="5">
        <f t="shared" si="130"/>
        <v>63.082822085889568</v>
      </c>
      <c r="EB6" s="6">
        <f t="shared" si="131"/>
        <v>1725</v>
      </c>
      <c r="EC6" s="5">
        <f t="shared" si="132"/>
        <v>59.528374233128837</v>
      </c>
      <c r="ED6" s="21">
        <f t="shared" si="133"/>
        <v>0.94365426695842447</v>
      </c>
      <c r="EE6" s="6">
        <f t="shared" si="134"/>
        <v>0</v>
      </c>
      <c r="EF6" s="5">
        <f t="shared" si="135"/>
        <v>0</v>
      </c>
      <c r="EG6" s="6">
        <f t="shared" si="136"/>
        <v>1705</v>
      </c>
      <c r="EH6" s="5">
        <f t="shared" si="137"/>
        <v>58.838190184049083</v>
      </c>
      <c r="EI6" s="6">
        <f t="shared" si="138"/>
        <v>59</v>
      </c>
      <c r="EJ6" s="5">
        <f t="shared" si="139"/>
        <v>2.0360429447852759</v>
      </c>
      <c r="EK6" s="5">
        <f t="shared" si="140"/>
        <v>3</v>
      </c>
      <c r="EL6" s="5">
        <f t="shared" si="141"/>
        <v>0</v>
      </c>
      <c r="EM6" s="298"/>
      <c r="EN6" s="294" t="s">
        <v>1029</v>
      </c>
      <c r="EO6" s="294" t="s">
        <v>1094</v>
      </c>
      <c r="EP6" s="294">
        <v>23</v>
      </c>
      <c r="EQ6" s="294" t="s">
        <v>1038</v>
      </c>
      <c r="ER6" s="294" t="s">
        <v>781</v>
      </c>
      <c r="ES6" s="294" t="s">
        <v>601</v>
      </c>
      <c r="ET6" s="294" t="s">
        <v>1095</v>
      </c>
      <c r="EU6" s="294" t="s">
        <v>1096</v>
      </c>
      <c r="EV6" s="295">
        <v>46934</v>
      </c>
      <c r="EW6" s="294">
        <v>2608</v>
      </c>
      <c r="EX6" s="294">
        <v>35</v>
      </c>
      <c r="EY6" s="294">
        <v>6</v>
      </c>
      <c r="EZ6" s="294">
        <v>0</v>
      </c>
      <c r="FA6" s="294">
        <v>9</v>
      </c>
      <c r="FB6" s="294">
        <v>3</v>
      </c>
      <c r="FC6" s="294">
        <v>1</v>
      </c>
      <c r="FD6" s="294">
        <v>0</v>
      </c>
      <c r="FE6" s="294">
        <v>3</v>
      </c>
      <c r="FF6" s="294">
        <v>14.4</v>
      </c>
      <c r="FG6" s="294" t="s">
        <v>1097</v>
      </c>
      <c r="FH6" s="294">
        <v>20</v>
      </c>
      <c r="FI6" s="294">
        <v>70</v>
      </c>
      <c r="FJ6" s="294">
        <v>23</v>
      </c>
      <c r="FK6" s="294">
        <v>0</v>
      </c>
      <c r="FL6" s="294">
        <v>1589</v>
      </c>
      <c r="FM6" s="294">
        <v>1398</v>
      </c>
      <c r="FN6" s="294">
        <v>59</v>
      </c>
      <c r="FO6" s="294">
        <v>113</v>
      </c>
      <c r="FP6" s="294">
        <v>77</v>
      </c>
      <c r="FQ6" s="294">
        <v>38</v>
      </c>
      <c r="FR6" s="294">
        <v>274</v>
      </c>
      <c r="FS6" s="294">
        <v>60</v>
      </c>
      <c r="FT6" s="294">
        <v>48</v>
      </c>
      <c r="FU6" s="294">
        <v>39</v>
      </c>
      <c r="FV6" s="294">
        <v>1</v>
      </c>
      <c r="FW6" s="294">
        <v>9</v>
      </c>
      <c r="FX6" s="294">
        <v>67</v>
      </c>
      <c r="FY6" s="294">
        <v>0</v>
      </c>
      <c r="FZ6" s="294">
        <v>18</v>
      </c>
      <c r="GA6" s="294">
        <v>25</v>
      </c>
      <c r="GB6" s="294">
        <v>5.6</v>
      </c>
      <c r="GC6" s="294">
        <v>0</v>
      </c>
      <c r="GD6" s="294">
        <v>0</v>
      </c>
      <c r="GE6" s="294">
        <v>0</v>
      </c>
      <c r="GF6" s="294" t="s">
        <v>1098</v>
      </c>
      <c r="GG6" s="299">
        <v>7.35</v>
      </c>
      <c r="GH6" s="398"/>
      <c r="GI6" s="398"/>
      <c r="GJ6" s="401"/>
    </row>
    <row r="7" spans="1:192" ht="24.95" customHeight="1" thickBot="1" x14ac:dyDescent="0.3">
      <c r="A7" s="29" t="str">
        <f t="shared" si="0"/>
        <v>6º</v>
      </c>
      <c r="B7" s="69" t="str">
        <f t="shared" si="1"/>
        <v>João Pedro</v>
      </c>
      <c r="C7" s="86" t="str">
        <f t="shared" si="2"/>
        <v>BRA</v>
      </c>
      <c r="D7" s="99" t="str">
        <f t="shared" si="3"/>
        <v>Pé Direito</v>
      </c>
      <c r="E7" s="28" t="str">
        <f t="shared" si="4"/>
        <v>Chelsea</v>
      </c>
      <c r="F7" s="165">
        <f t="shared" si="5"/>
        <v>1.82</v>
      </c>
      <c r="G7" s="148">
        <f t="shared" si="6"/>
        <v>48760</v>
      </c>
      <c r="H7" s="167">
        <f t="shared" si="7"/>
        <v>24</v>
      </c>
      <c r="I7" s="200" t="str">
        <f t="shared" si="8"/>
        <v>€789m p/m</v>
      </c>
      <c r="J7" s="186" t="str">
        <f t="shared" si="9"/>
        <v>Não está à venda</v>
      </c>
      <c r="K7" s="96">
        <f t="shared" si="10"/>
        <v>28.532222222222224</v>
      </c>
      <c r="L7" s="144">
        <f t="shared" si="11"/>
        <v>31.355555555555554</v>
      </c>
      <c r="M7" s="144">
        <f t="shared" si="12"/>
        <v>40</v>
      </c>
      <c r="N7" s="144">
        <f t="shared" si="13"/>
        <v>70.55</v>
      </c>
      <c r="O7" s="184">
        <f t="shared" si="14"/>
        <v>1</v>
      </c>
      <c r="P7" s="2">
        <f t="shared" si="15"/>
        <v>5</v>
      </c>
      <c r="Q7" s="5">
        <f t="shared" si="16"/>
        <v>5</v>
      </c>
      <c r="R7" s="5">
        <f t="shared" si="17"/>
        <v>0</v>
      </c>
      <c r="S7" s="5">
        <f t="shared" si="18"/>
        <v>0.60595322466335932</v>
      </c>
      <c r="T7" s="5">
        <f t="shared" si="19"/>
        <v>0.60595322466335932</v>
      </c>
      <c r="U7" s="6">
        <f t="shared" si="20"/>
        <v>3</v>
      </c>
      <c r="V7" s="24">
        <f t="shared" si="21"/>
        <v>940.66666666666663</v>
      </c>
      <c r="W7" s="21">
        <f t="shared" si="22"/>
        <v>9.5676824946846206E-2</v>
      </c>
      <c r="X7" s="2">
        <f t="shared" si="23"/>
        <v>0</v>
      </c>
      <c r="Y7" s="2">
        <f t="shared" si="24"/>
        <v>19</v>
      </c>
      <c r="Z7" s="2">
        <f t="shared" si="25"/>
        <v>19</v>
      </c>
      <c r="AA7" s="353">
        <f t="shared" si="26"/>
        <v>-8.89</v>
      </c>
      <c r="AB7" s="353">
        <f t="shared" si="27"/>
        <v>1.9</v>
      </c>
      <c r="AC7" s="354">
        <f t="shared" si="28"/>
        <v>6.99</v>
      </c>
      <c r="AD7" s="6">
        <f t="shared" si="29"/>
        <v>-6.99</v>
      </c>
      <c r="AE7" s="20">
        <f t="shared" si="30"/>
        <v>0</v>
      </c>
      <c r="AF7" s="20">
        <f t="shared" si="31"/>
        <v>1</v>
      </c>
      <c r="AG7" s="20">
        <f t="shared" si="32"/>
        <v>0.36789473684210527</v>
      </c>
      <c r="AH7" s="5">
        <f t="shared" si="33"/>
        <v>0</v>
      </c>
      <c r="AI7" s="5">
        <f t="shared" si="34"/>
        <v>0.60595322466335932</v>
      </c>
      <c r="AJ7" s="5">
        <f t="shared" si="35"/>
        <v>0.60595322466335932</v>
      </c>
      <c r="AK7" s="5">
        <f t="shared" si="36"/>
        <v>-0.22292700212615169</v>
      </c>
      <c r="AL7" s="315">
        <f t="shared" si="37"/>
        <v>-0.28352232459248761</v>
      </c>
      <c r="AM7" s="315">
        <f t="shared" si="38"/>
        <v>6.0595322466335928E-2</v>
      </c>
      <c r="AN7" s="315">
        <f t="shared" si="39"/>
        <v>2</v>
      </c>
      <c r="AO7" s="21">
        <f t="shared" si="40"/>
        <v>3.0297661233167964E-2</v>
      </c>
      <c r="AP7" s="314">
        <f t="shared" si="41"/>
        <v>-9</v>
      </c>
      <c r="AQ7" s="315">
        <f t="shared" si="42"/>
        <v>-0.28703047484053862</v>
      </c>
      <c r="AR7" s="314">
        <f t="shared" si="43"/>
        <v>61</v>
      </c>
      <c r="AS7" s="315">
        <f t="shared" si="44"/>
        <v>1.9454287739192062</v>
      </c>
      <c r="AT7" s="318">
        <f t="shared" si="45"/>
        <v>-6.7777777777777777</v>
      </c>
      <c r="AU7" s="326">
        <f t="shared" si="46"/>
        <v>3</v>
      </c>
      <c r="AV7" s="314" t="str">
        <f t="shared" si="47"/>
        <v>336,4 km</v>
      </c>
      <c r="AW7" s="314">
        <f t="shared" si="48"/>
        <v>6.99</v>
      </c>
      <c r="AX7" s="329">
        <f t="shared" si="49"/>
        <v>0</v>
      </c>
      <c r="AY7" s="315">
        <f t="shared" si="50"/>
        <v>0.22292700212615169</v>
      </c>
      <c r="AZ7" s="20">
        <f t="shared" si="51"/>
        <v>1.0000000000000001E-5</v>
      </c>
      <c r="BA7" s="2">
        <f t="shared" si="52"/>
        <v>50</v>
      </c>
      <c r="BB7" s="2">
        <f t="shared" si="53"/>
        <v>58</v>
      </c>
      <c r="BC7" s="5">
        <f t="shared" si="54"/>
        <v>1.5946137491141035</v>
      </c>
      <c r="BD7" s="5">
        <f t="shared" si="55"/>
        <v>1.8497519489723602</v>
      </c>
      <c r="BE7" s="2">
        <f t="shared" si="56"/>
        <v>-8</v>
      </c>
      <c r="BF7" s="107">
        <f t="shared" si="57"/>
        <v>1.1599999999999999</v>
      </c>
      <c r="BG7" s="107">
        <f t="shared" si="58"/>
        <v>-0.15999999999999992</v>
      </c>
      <c r="BH7" s="338">
        <f t="shared" si="59"/>
        <v>3</v>
      </c>
      <c r="BI7" s="315">
        <f t="shared" si="60"/>
        <v>9.5676824946846206E-2</v>
      </c>
      <c r="BJ7" s="6">
        <f t="shared" si="61"/>
        <v>42</v>
      </c>
      <c r="BK7" s="5">
        <f t="shared" si="62"/>
        <v>1.339475549255847</v>
      </c>
      <c r="BL7" s="6">
        <f t="shared" si="63"/>
        <v>-63</v>
      </c>
      <c r="BM7" s="5">
        <f t="shared" si="64"/>
        <v>-2.0092133238837704</v>
      </c>
      <c r="BN7" s="6">
        <f t="shared" si="65"/>
        <v>105</v>
      </c>
      <c r="BO7" s="5">
        <f t="shared" si="66"/>
        <v>3.3486888731396176</v>
      </c>
      <c r="BP7" s="6">
        <f t="shared" si="67"/>
        <v>105</v>
      </c>
      <c r="BQ7" s="5">
        <f t="shared" si="68"/>
        <v>3.3486888731396176</v>
      </c>
      <c r="BR7" s="21">
        <f t="shared" si="69"/>
        <v>2.5</v>
      </c>
      <c r="BS7" s="5">
        <f t="shared" si="70"/>
        <v>100</v>
      </c>
      <c r="BT7" s="5">
        <f t="shared" si="71"/>
        <v>0</v>
      </c>
      <c r="BU7" s="5">
        <f t="shared" si="72"/>
        <v>0</v>
      </c>
      <c r="BV7" s="107">
        <f t="shared" si="73"/>
        <v>0</v>
      </c>
      <c r="BW7" s="5">
        <f t="shared" si="74"/>
        <v>0</v>
      </c>
      <c r="BX7" s="5">
        <f t="shared" si="75"/>
        <v>0.58043940467753363</v>
      </c>
      <c r="BY7" s="5">
        <f t="shared" si="76"/>
        <v>0</v>
      </c>
      <c r="BZ7" s="276">
        <f t="shared" si="77"/>
        <v>-0.58043940467753363</v>
      </c>
      <c r="CA7" s="275">
        <f t="shared" si="78"/>
        <v>0</v>
      </c>
      <c r="CB7" s="5">
        <f t="shared" si="79"/>
        <v>67.19047619047619</v>
      </c>
      <c r="CC7" s="5">
        <f t="shared" si="80"/>
        <v>26.876190476190477</v>
      </c>
      <c r="CD7" s="5">
        <f t="shared" si="81"/>
        <v>2822</v>
      </c>
      <c r="CE7" s="5">
        <f t="shared" si="82"/>
        <v>148.52631578947367</v>
      </c>
      <c r="CF7" s="5">
        <f t="shared" si="83"/>
        <v>-18.2</v>
      </c>
      <c r="CG7" s="5">
        <f t="shared" si="84"/>
        <v>-6.99</v>
      </c>
      <c r="CH7" s="5">
        <f t="shared" si="85"/>
        <v>18.2</v>
      </c>
      <c r="CI7" s="5">
        <f t="shared" si="86"/>
        <v>0.58043940467753363</v>
      </c>
      <c r="CJ7" s="5">
        <f t="shared" si="87"/>
        <v>0</v>
      </c>
      <c r="CK7" s="5">
        <f t="shared" si="88"/>
        <v>0</v>
      </c>
      <c r="CL7" s="5">
        <f t="shared" si="89"/>
        <v>3.55</v>
      </c>
      <c r="CM7" s="5">
        <f t="shared" si="90"/>
        <v>0.11321757618710135</v>
      </c>
      <c r="CN7" s="5">
        <f t="shared" si="91"/>
        <v>3.55</v>
      </c>
      <c r="CO7" s="5">
        <f t="shared" si="92"/>
        <v>0.11321757618710135</v>
      </c>
      <c r="CP7" s="21">
        <f t="shared" si="93"/>
        <v>0</v>
      </c>
      <c r="CQ7" s="6">
        <f t="shared" si="94"/>
        <v>949</v>
      </c>
      <c r="CR7" s="5">
        <f t="shared" si="95"/>
        <v>30.265768958185685</v>
      </c>
      <c r="CS7" s="5">
        <f t="shared" si="96"/>
        <v>3.55</v>
      </c>
      <c r="CT7" s="5">
        <f t="shared" si="97"/>
        <v>-15.45</v>
      </c>
      <c r="CU7" s="6">
        <f t="shared" si="98"/>
        <v>14</v>
      </c>
      <c r="CV7" s="5">
        <f t="shared" si="99"/>
        <v>0.446491849751949</v>
      </c>
      <c r="CW7" s="6">
        <f t="shared" si="100"/>
        <v>0</v>
      </c>
      <c r="CX7" s="5">
        <f t="shared" si="101"/>
        <v>0</v>
      </c>
      <c r="CY7" s="21">
        <f t="shared" si="102"/>
        <v>0</v>
      </c>
      <c r="CZ7" s="340">
        <f t="shared" si="103"/>
        <v>45</v>
      </c>
      <c r="DA7" s="341">
        <f t="shared" si="104"/>
        <v>1.4351523742026933</v>
      </c>
      <c r="DB7" s="207">
        <f t="shared" si="105"/>
        <v>1.0885896527285612</v>
      </c>
      <c r="DC7" s="2">
        <f t="shared" si="106"/>
        <v>57</v>
      </c>
      <c r="DD7" s="5">
        <f t="shared" si="107"/>
        <v>1.8178596739900781</v>
      </c>
      <c r="DE7" s="2">
        <f t="shared" si="108"/>
        <v>11</v>
      </c>
      <c r="DF7" s="5">
        <f t="shared" si="109"/>
        <v>0.35081502480510279</v>
      </c>
      <c r="DG7" s="107">
        <f t="shared" si="110"/>
        <v>0.19298245614035087</v>
      </c>
      <c r="DH7" s="6">
        <f t="shared" si="111"/>
        <v>3</v>
      </c>
      <c r="DI7" s="5">
        <f t="shared" si="112"/>
        <v>9.5676824946846206E-2</v>
      </c>
      <c r="DJ7" s="6">
        <f t="shared" si="113"/>
        <v>161</v>
      </c>
      <c r="DK7" s="5">
        <f t="shared" si="114"/>
        <v>5.1346562721474136</v>
      </c>
      <c r="DL7" s="5">
        <f t="shared" si="115"/>
        <v>51.2</v>
      </c>
      <c r="DM7" s="5">
        <f t="shared" si="116"/>
        <v>1.6328844790928421</v>
      </c>
      <c r="DN7" s="314">
        <f t="shared" si="117"/>
        <v>125.42222222222222</v>
      </c>
      <c r="DO7" s="339">
        <f t="shared" si="118"/>
        <v>4</v>
      </c>
      <c r="DP7" s="6" t="e">
        <f t="shared" si="119"/>
        <v>#VALUE!</v>
      </c>
      <c r="DQ7" s="5">
        <f t="shared" si="120"/>
        <v>0</v>
      </c>
      <c r="DR7" s="6">
        <f t="shared" si="121"/>
        <v>1285.99</v>
      </c>
      <c r="DS7" s="5">
        <f t="shared" si="122"/>
        <v>41.013146704464923</v>
      </c>
      <c r="DT7" s="208">
        <f t="shared" si="123"/>
        <v>219.48888888888888</v>
      </c>
      <c r="DU7" s="5">
        <f t="shared" si="124"/>
        <v>7</v>
      </c>
      <c r="DV7" s="21">
        <f t="shared" si="125"/>
        <v>0</v>
      </c>
      <c r="DW7" s="6">
        <f t="shared" si="126"/>
        <v>1071.95</v>
      </c>
      <c r="DX7" s="5">
        <f t="shared" si="127"/>
        <v>34.186924167257267</v>
      </c>
      <c r="DY7" s="5">
        <f t="shared" si="128"/>
        <v>0</v>
      </c>
      <c r="DZ7" s="178">
        <f t="shared" si="129"/>
        <v>1050</v>
      </c>
      <c r="EA7" s="5">
        <f t="shared" si="130"/>
        <v>33.486888731396171</v>
      </c>
      <c r="EB7" s="6">
        <f t="shared" si="131"/>
        <v>1099</v>
      </c>
      <c r="EC7" s="5">
        <f t="shared" si="132"/>
        <v>35.049610205527998</v>
      </c>
      <c r="ED7" s="21">
        <f t="shared" si="133"/>
        <v>1.0466666666666666</v>
      </c>
      <c r="EE7" s="6">
        <f t="shared" si="134"/>
        <v>0</v>
      </c>
      <c r="EF7" s="5">
        <f t="shared" si="135"/>
        <v>0</v>
      </c>
      <c r="EG7" s="6">
        <f t="shared" si="136"/>
        <v>994</v>
      </c>
      <c r="EH7" s="5">
        <f t="shared" si="137"/>
        <v>31.700921332388379</v>
      </c>
      <c r="EI7" s="6">
        <f t="shared" si="138"/>
        <v>-44</v>
      </c>
      <c r="EJ7" s="5">
        <f t="shared" si="139"/>
        <v>-1.4032600992204112</v>
      </c>
      <c r="EK7" s="5">
        <f t="shared" si="140"/>
        <v>7</v>
      </c>
      <c r="EL7" s="5">
        <f t="shared" si="141"/>
        <v>7.18</v>
      </c>
      <c r="EM7" s="296"/>
      <c r="EN7" s="292" t="s">
        <v>13</v>
      </c>
      <c r="EO7" s="292" t="s">
        <v>1054</v>
      </c>
      <c r="EP7" s="292">
        <v>24</v>
      </c>
      <c r="EQ7" s="292" t="s">
        <v>985</v>
      </c>
      <c r="ER7" s="292" t="s">
        <v>829</v>
      </c>
      <c r="ES7" s="292" t="s">
        <v>601</v>
      </c>
      <c r="ET7" s="292" t="s">
        <v>408</v>
      </c>
      <c r="EU7" s="292" t="s">
        <v>1055</v>
      </c>
      <c r="EV7" s="293">
        <v>48760</v>
      </c>
      <c r="EW7" s="292">
        <v>2822</v>
      </c>
      <c r="EX7" s="292">
        <v>40</v>
      </c>
      <c r="EY7" s="292">
        <v>3</v>
      </c>
      <c r="EZ7" s="292">
        <v>0</v>
      </c>
      <c r="FA7" s="292">
        <v>19</v>
      </c>
      <c r="FB7" s="292">
        <v>3</v>
      </c>
      <c r="FC7" s="292">
        <v>5</v>
      </c>
      <c r="FD7" s="292">
        <v>1</v>
      </c>
      <c r="FE7" s="292">
        <v>7</v>
      </c>
      <c r="FF7" s="292">
        <v>18.2</v>
      </c>
      <c r="FG7" s="292" t="s">
        <v>1056</v>
      </c>
      <c r="FH7" s="292">
        <v>26</v>
      </c>
      <c r="FI7" s="292">
        <v>161</v>
      </c>
      <c r="FJ7" s="292">
        <v>19</v>
      </c>
      <c r="FK7" s="292">
        <v>0</v>
      </c>
      <c r="FL7" s="292">
        <v>949</v>
      </c>
      <c r="FM7" s="292">
        <v>842</v>
      </c>
      <c r="FN7" s="292">
        <v>45</v>
      </c>
      <c r="FO7" s="292">
        <v>42</v>
      </c>
      <c r="FP7" s="292">
        <v>105</v>
      </c>
      <c r="FQ7" s="292">
        <v>50</v>
      </c>
      <c r="FR7" s="292">
        <v>58</v>
      </c>
      <c r="FS7" s="292">
        <v>24</v>
      </c>
      <c r="FT7" s="292">
        <v>11</v>
      </c>
      <c r="FU7" s="292">
        <v>7</v>
      </c>
      <c r="FV7" s="292">
        <v>0</v>
      </c>
      <c r="FW7" s="292">
        <v>3</v>
      </c>
      <c r="FX7" s="292">
        <v>14</v>
      </c>
      <c r="FY7" s="292">
        <v>0</v>
      </c>
      <c r="FZ7" s="292">
        <v>5</v>
      </c>
      <c r="GA7" s="292">
        <v>61</v>
      </c>
      <c r="GB7" s="292">
        <v>1.9</v>
      </c>
      <c r="GC7" s="292">
        <v>2</v>
      </c>
      <c r="GD7" s="292">
        <v>3</v>
      </c>
      <c r="GE7" s="292">
        <v>3</v>
      </c>
      <c r="GF7" s="292" t="s">
        <v>1057</v>
      </c>
      <c r="GG7" s="297">
        <v>6.99</v>
      </c>
      <c r="GH7" s="400">
        <v>4</v>
      </c>
      <c r="GI7" s="400" t="s">
        <v>983</v>
      </c>
      <c r="GJ7" s="400">
        <v>7.18</v>
      </c>
    </row>
    <row r="8" spans="1:192" ht="24.95" customHeight="1" thickBot="1" x14ac:dyDescent="0.3">
      <c r="A8" s="29" t="str">
        <f t="shared" si="0"/>
        <v>7º</v>
      </c>
      <c r="B8" s="69" t="str">
        <f t="shared" si="1"/>
        <v>Kai Havertz</v>
      </c>
      <c r="C8" s="86" t="str">
        <f t="shared" si="2"/>
        <v>GER</v>
      </c>
      <c r="D8" s="99" t="str">
        <f t="shared" si="3"/>
        <v>Pé Esquerdo</v>
      </c>
      <c r="E8" s="28" t="str">
        <f t="shared" si="4"/>
        <v>Arsenal</v>
      </c>
      <c r="F8" s="165">
        <f t="shared" si="5"/>
        <v>1.91</v>
      </c>
      <c r="G8" s="148">
        <f t="shared" si="6"/>
        <v>46934</v>
      </c>
      <c r="H8" s="167">
        <f t="shared" si="7"/>
        <v>26</v>
      </c>
      <c r="I8" s="200" t="str">
        <f t="shared" si="8"/>
        <v>€1,41M p/m</v>
      </c>
      <c r="J8" s="186" t="str">
        <f t="shared" si="9"/>
        <v>€84M - €102M</v>
      </c>
      <c r="K8" s="96">
        <f t="shared" si="10"/>
        <v>28.532222222222224</v>
      </c>
      <c r="L8" s="144">
        <f t="shared" si="11"/>
        <v>14.655555555555555</v>
      </c>
      <c r="M8" s="144">
        <f t="shared" si="12"/>
        <v>22</v>
      </c>
      <c r="N8" s="144">
        <f t="shared" si="13"/>
        <v>59.954545454545453</v>
      </c>
      <c r="O8" s="184">
        <f t="shared" si="14"/>
        <v>0.64</v>
      </c>
      <c r="P8" s="2">
        <f t="shared" si="15"/>
        <v>0</v>
      </c>
      <c r="Q8" s="5">
        <f t="shared" si="16"/>
        <v>0</v>
      </c>
      <c r="R8" s="5">
        <f t="shared" si="17"/>
        <v>0</v>
      </c>
      <c r="S8" s="5">
        <f t="shared" si="18"/>
        <v>0.61410159211523885</v>
      </c>
      <c r="T8" s="5">
        <f t="shared" si="19"/>
        <v>0.61410159211523885</v>
      </c>
      <c r="U8" s="6">
        <f t="shared" si="20"/>
        <v>2</v>
      </c>
      <c r="V8" s="24">
        <f t="shared" si="21"/>
        <v>659.5</v>
      </c>
      <c r="W8" s="21">
        <f t="shared" si="22"/>
        <v>0.13646702047005307</v>
      </c>
      <c r="X8" s="2">
        <f t="shared" si="23"/>
        <v>0</v>
      </c>
      <c r="Y8" s="2">
        <f t="shared" si="24"/>
        <v>9</v>
      </c>
      <c r="Z8" s="2">
        <f t="shared" si="25"/>
        <v>9</v>
      </c>
      <c r="AA8" s="353">
        <f t="shared" si="26"/>
        <v>-11.969999999999999</v>
      </c>
      <c r="AB8" s="353">
        <f t="shared" si="27"/>
        <v>5</v>
      </c>
      <c r="AC8" s="354">
        <f t="shared" si="28"/>
        <v>6.97</v>
      </c>
      <c r="AD8" s="6">
        <f t="shared" si="29"/>
        <v>-6.97</v>
      </c>
      <c r="AE8" s="20">
        <f t="shared" si="30"/>
        <v>0</v>
      </c>
      <c r="AF8" s="20">
        <f t="shared" si="31"/>
        <v>1</v>
      </c>
      <c r="AG8" s="20">
        <f t="shared" si="32"/>
        <v>0.77444444444444438</v>
      </c>
      <c r="AH8" s="5">
        <f t="shared" si="33"/>
        <v>0</v>
      </c>
      <c r="AI8" s="5">
        <f t="shared" si="34"/>
        <v>0.61410159211523885</v>
      </c>
      <c r="AJ8" s="5">
        <f t="shared" si="35"/>
        <v>0.61410159211523885</v>
      </c>
      <c r="AK8" s="5">
        <f t="shared" si="36"/>
        <v>-0.47558756633813493</v>
      </c>
      <c r="AL8" s="315">
        <f t="shared" si="37"/>
        <v>-0.81675511751326757</v>
      </c>
      <c r="AM8" s="315">
        <f t="shared" si="38"/>
        <v>0.3411675511751327</v>
      </c>
      <c r="AN8" s="315">
        <f t="shared" si="39"/>
        <v>5</v>
      </c>
      <c r="AO8" s="21">
        <f t="shared" si="40"/>
        <v>6.8233510235026537E-2</v>
      </c>
      <c r="AP8" s="314">
        <f t="shared" si="41"/>
        <v>-9</v>
      </c>
      <c r="AQ8" s="315">
        <f t="shared" si="42"/>
        <v>-0.61410159211523885</v>
      </c>
      <c r="AR8" s="314">
        <f t="shared" si="43"/>
        <v>23</v>
      </c>
      <c r="AS8" s="315">
        <f t="shared" si="44"/>
        <v>1.5693707354056103</v>
      </c>
      <c r="AT8" s="318">
        <f t="shared" si="45"/>
        <v>-2.5555555555555554</v>
      </c>
      <c r="AU8" s="326">
        <f t="shared" si="46"/>
        <v>1</v>
      </c>
      <c r="AV8" s="314" t="str">
        <f t="shared" si="47"/>
        <v>129,4 km</v>
      </c>
      <c r="AW8" s="314">
        <f t="shared" si="48"/>
        <v>6.97</v>
      </c>
      <c r="AX8" s="329">
        <f t="shared" si="49"/>
        <v>0</v>
      </c>
      <c r="AY8" s="315">
        <f t="shared" si="50"/>
        <v>0.47558756633813493</v>
      </c>
      <c r="AZ8" s="20">
        <f t="shared" si="51"/>
        <v>1.0000000000000001E-5</v>
      </c>
      <c r="BA8" s="2">
        <f t="shared" si="52"/>
        <v>26</v>
      </c>
      <c r="BB8" s="2">
        <f t="shared" si="53"/>
        <v>55</v>
      </c>
      <c r="BC8" s="5">
        <f t="shared" si="54"/>
        <v>1.7740712661106899</v>
      </c>
      <c r="BD8" s="5">
        <f t="shared" si="55"/>
        <v>3.7528430629264595</v>
      </c>
      <c r="BE8" s="2">
        <f t="shared" si="56"/>
        <v>-29</v>
      </c>
      <c r="BF8" s="107">
        <f t="shared" si="57"/>
        <v>2.1153846153846154</v>
      </c>
      <c r="BG8" s="107">
        <f t="shared" si="58"/>
        <v>-1.1153846153846154</v>
      </c>
      <c r="BH8" s="338">
        <f t="shared" si="59"/>
        <v>1</v>
      </c>
      <c r="BI8" s="315">
        <f t="shared" si="60"/>
        <v>6.8233510235026537E-2</v>
      </c>
      <c r="BJ8" s="6">
        <f t="shared" si="61"/>
        <v>32</v>
      </c>
      <c r="BK8" s="5">
        <f t="shared" si="62"/>
        <v>2.1834723275208492</v>
      </c>
      <c r="BL8" s="6">
        <f t="shared" si="63"/>
        <v>-18</v>
      </c>
      <c r="BM8" s="5">
        <f t="shared" si="64"/>
        <v>-1.2282031842304777</v>
      </c>
      <c r="BN8" s="6">
        <f t="shared" si="65"/>
        <v>50</v>
      </c>
      <c r="BO8" s="5">
        <f t="shared" si="66"/>
        <v>3.4116755117513269</v>
      </c>
      <c r="BP8" s="6">
        <f t="shared" si="67"/>
        <v>50</v>
      </c>
      <c r="BQ8" s="5">
        <f t="shared" si="68"/>
        <v>3.4116755117513269</v>
      </c>
      <c r="BR8" s="21">
        <f t="shared" si="69"/>
        <v>1.5625</v>
      </c>
      <c r="BS8" s="5">
        <f t="shared" si="70"/>
        <v>100</v>
      </c>
      <c r="BT8" s="5">
        <f t="shared" si="71"/>
        <v>0</v>
      </c>
      <c r="BU8" s="5">
        <f t="shared" si="72"/>
        <v>0</v>
      </c>
      <c r="BV8" s="107">
        <f t="shared" si="73"/>
        <v>0</v>
      </c>
      <c r="BW8" s="5">
        <f t="shared" si="74"/>
        <v>0</v>
      </c>
      <c r="BX8" s="5">
        <f t="shared" si="75"/>
        <v>0.81197877179681588</v>
      </c>
      <c r="BY8" s="5">
        <f t="shared" si="76"/>
        <v>0</v>
      </c>
      <c r="BZ8" s="276">
        <f t="shared" si="77"/>
        <v>-0.81197877179681588</v>
      </c>
      <c r="CA8" s="275">
        <f t="shared" si="78"/>
        <v>0</v>
      </c>
      <c r="CB8" s="5">
        <f t="shared" si="79"/>
        <v>41.21875</v>
      </c>
      <c r="CC8" s="5">
        <f t="shared" si="80"/>
        <v>26.38</v>
      </c>
      <c r="CD8" s="5">
        <f t="shared" si="81"/>
        <v>1319</v>
      </c>
      <c r="CE8" s="5">
        <f t="shared" si="82"/>
        <v>146.55555555555554</v>
      </c>
      <c r="CF8" s="5">
        <f t="shared" si="83"/>
        <v>-11.9</v>
      </c>
      <c r="CG8" s="5">
        <f t="shared" si="84"/>
        <v>-6.97</v>
      </c>
      <c r="CH8" s="5">
        <f t="shared" si="85"/>
        <v>11.9</v>
      </c>
      <c r="CI8" s="5">
        <f t="shared" si="86"/>
        <v>0.81197877179681588</v>
      </c>
      <c r="CJ8" s="5">
        <f t="shared" si="87"/>
        <v>0</v>
      </c>
      <c r="CK8" s="5">
        <f t="shared" si="88"/>
        <v>0</v>
      </c>
      <c r="CL8" s="5">
        <f t="shared" si="89"/>
        <v>0.69</v>
      </c>
      <c r="CM8" s="5">
        <f t="shared" si="90"/>
        <v>4.7081122062168308E-2</v>
      </c>
      <c r="CN8" s="5">
        <f t="shared" si="91"/>
        <v>0.69</v>
      </c>
      <c r="CO8" s="5">
        <f t="shared" si="92"/>
        <v>4.7081122062168308E-2</v>
      </c>
      <c r="CP8" s="21">
        <f t="shared" si="93"/>
        <v>0</v>
      </c>
      <c r="CQ8" s="6">
        <f t="shared" si="94"/>
        <v>425</v>
      </c>
      <c r="CR8" s="5">
        <f t="shared" si="95"/>
        <v>28.999241849886278</v>
      </c>
      <c r="CS8" s="5">
        <f t="shared" si="96"/>
        <v>0.69</v>
      </c>
      <c r="CT8" s="5">
        <f t="shared" si="97"/>
        <v>-8.31</v>
      </c>
      <c r="CU8" s="6">
        <f t="shared" si="98"/>
        <v>13</v>
      </c>
      <c r="CV8" s="5">
        <f t="shared" si="99"/>
        <v>0.88703563305534494</v>
      </c>
      <c r="CW8" s="6">
        <f t="shared" si="100"/>
        <v>0</v>
      </c>
      <c r="CX8" s="5">
        <f t="shared" si="101"/>
        <v>0</v>
      </c>
      <c r="CY8" s="21">
        <f t="shared" si="102"/>
        <v>0</v>
      </c>
      <c r="CZ8" s="340">
        <f t="shared" si="103"/>
        <v>18</v>
      </c>
      <c r="DA8" s="341">
        <f t="shared" si="104"/>
        <v>1.2282031842304777</v>
      </c>
      <c r="DB8" s="207">
        <f t="shared" si="105"/>
        <v>0</v>
      </c>
      <c r="DC8" s="2">
        <f t="shared" si="106"/>
        <v>26</v>
      </c>
      <c r="DD8" s="5">
        <f t="shared" si="107"/>
        <v>1.7740712661106899</v>
      </c>
      <c r="DE8" s="2">
        <f t="shared" si="108"/>
        <v>12</v>
      </c>
      <c r="DF8" s="5">
        <f t="shared" si="109"/>
        <v>0.8188021228203185</v>
      </c>
      <c r="DG8" s="107">
        <f t="shared" si="110"/>
        <v>0.46153846153846156</v>
      </c>
      <c r="DH8" s="6">
        <f t="shared" si="111"/>
        <v>1</v>
      </c>
      <c r="DI8" s="5">
        <f t="shared" si="112"/>
        <v>6.8233510235026537E-2</v>
      </c>
      <c r="DJ8" s="6">
        <f t="shared" si="113"/>
        <v>61</v>
      </c>
      <c r="DK8" s="5">
        <f t="shared" si="114"/>
        <v>4.1622441243366186</v>
      </c>
      <c r="DL8" s="5" t="e">
        <f t="shared" si="115"/>
        <v>#VALUE!</v>
      </c>
      <c r="DM8" s="5">
        <f t="shared" si="116"/>
        <v>0</v>
      </c>
      <c r="DN8" s="314">
        <f t="shared" si="117"/>
        <v>0</v>
      </c>
      <c r="DO8" s="339">
        <f t="shared" si="118"/>
        <v>0</v>
      </c>
      <c r="DP8" s="6" t="e">
        <f t="shared" si="119"/>
        <v>#VALUE!</v>
      </c>
      <c r="DQ8" s="5">
        <f t="shared" si="120"/>
        <v>0</v>
      </c>
      <c r="DR8" s="6">
        <f t="shared" si="121"/>
        <v>569.97</v>
      </c>
      <c r="DS8" s="5">
        <f t="shared" si="122"/>
        <v>38.89105382865808</v>
      </c>
      <c r="DT8" s="208">
        <f t="shared" si="123"/>
        <v>43.966666666666669</v>
      </c>
      <c r="DU8" s="5">
        <f t="shared" si="124"/>
        <v>3</v>
      </c>
      <c r="DV8" s="21">
        <f t="shared" si="125"/>
        <v>0</v>
      </c>
      <c r="DW8" s="6">
        <f t="shared" si="126"/>
        <v>486.19</v>
      </c>
      <c r="DX8" s="5">
        <f t="shared" si="127"/>
        <v>33.17445034116755</v>
      </c>
      <c r="DY8" s="5">
        <f t="shared" si="128"/>
        <v>0</v>
      </c>
      <c r="DZ8" s="178">
        <f t="shared" si="129"/>
        <v>488</v>
      </c>
      <c r="EA8" s="5">
        <f t="shared" si="130"/>
        <v>33.297952994692949</v>
      </c>
      <c r="EB8" s="6">
        <f t="shared" si="131"/>
        <v>493</v>
      </c>
      <c r="EC8" s="5">
        <f t="shared" si="132"/>
        <v>33.639120545868082</v>
      </c>
      <c r="ED8" s="21">
        <f t="shared" si="133"/>
        <v>1.0102459016393444</v>
      </c>
      <c r="EE8" s="6">
        <f t="shared" si="134"/>
        <v>0</v>
      </c>
      <c r="EF8" s="5">
        <f t="shared" si="135"/>
        <v>0</v>
      </c>
      <c r="EG8" s="6">
        <f t="shared" si="136"/>
        <v>458</v>
      </c>
      <c r="EH8" s="5">
        <f t="shared" si="137"/>
        <v>31.250947687642153</v>
      </c>
      <c r="EI8" s="6">
        <f t="shared" si="138"/>
        <v>5.8999999999999986</v>
      </c>
      <c r="EJ8" s="5">
        <f t="shared" si="139"/>
        <v>0.40257771038665646</v>
      </c>
      <c r="EK8" s="5">
        <f t="shared" si="140"/>
        <v>3</v>
      </c>
      <c r="EL8" s="5">
        <f t="shared" si="141"/>
        <v>0</v>
      </c>
      <c r="EM8" s="298" t="s">
        <v>1020</v>
      </c>
      <c r="EN8" s="294" t="s">
        <v>644</v>
      </c>
      <c r="EO8" s="294" t="s">
        <v>1082</v>
      </c>
      <c r="EP8" s="294">
        <v>26</v>
      </c>
      <c r="EQ8" s="294" t="s">
        <v>991</v>
      </c>
      <c r="ER8" s="294" t="s">
        <v>780</v>
      </c>
      <c r="ES8" s="294" t="s">
        <v>607</v>
      </c>
      <c r="ET8" s="294" t="s">
        <v>1083</v>
      </c>
      <c r="EU8" s="294" t="s">
        <v>1084</v>
      </c>
      <c r="EV8" s="295">
        <v>46934</v>
      </c>
      <c r="EW8" s="294">
        <v>1319</v>
      </c>
      <c r="EX8" s="294" t="s">
        <v>1085</v>
      </c>
      <c r="EY8" s="294">
        <v>2</v>
      </c>
      <c r="EZ8" s="294">
        <v>0</v>
      </c>
      <c r="FA8" s="294">
        <v>9</v>
      </c>
      <c r="FB8" s="294">
        <v>1</v>
      </c>
      <c r="FC8" s="294">
        <v>0</v>
      </c>
      <c r="FD8" s="294">
        <v>0</v>
      </c>
      <c r="FE8" s="294">
        <v>3</v>
      </c>
      <c r="FF8" s="294">
        <v>11.9</v>
      </c>
      <c r="FG8" s="294" t="s">
        <v>1086</v>
      </c>
      <c r="FH8" s="294">
        <v>3</v>
      </c>
      <c r="FI8" s="294">
        <v>61</v>
      </c>
      <c r="FJ8" s="294">
        <v>24</v>
      </c>
      <c r="FK8" s="294">
        <v>0.1</v>
      </c>
      <c r="FL8" s="294">
        <v>425</v>
      </c>
      <c r="FM8" s="294">
        <v>372</v>
      </c>
      <c r="FN8" s="294">
        <v>18</v>
      </c>
      <c r="FO8" s="294">
        <v>32</v>
      </c>
      <c r="FP8" s="294">
        <v>50</v>
      </c>
      <c r="FQ8" s="294">
        <v>26</v>
      </c>
      <c r="FR8" s="294">
        <v>55</v>
      </c>
      <c r="FS8" s="294">
        <v>14</v>
      </c>
      <c r="FT8" s="294">
        <v>12</v>
      </c>
      <c r="FU8" s="294">
        <v>9</v>
      </c>
      <c r="FV8" s="294">
        <v>0</v>
      </c>
      <c r="FW8" s="294">
        <v>1</v>
      </c>
      <c r="FX8" s="294">
        <v>13</v>
      </c>
      <c r="FY8" s="294">
        <v>0</v>
      </c>
      <c r="FZ8" s="294">
        <v>4</v>
      </c>
      <c r="GA8" s="294">
        <v>23</v>
      </c>
      <c r="GB8" s="294">
        <v>5</v>
      </c>
      <c r="GC8" s="294">
        <v>5</v>
      </c>
      <c r="GD8" s="294">
        <v>1</v>
      </c>
      <c r="GE8" s="294">
        <v>1</v>
      </c>
      <c r="GF8" s="294" t="s">
        <v>1087</v>
      </c>
      <c r="GG8" s="299">
        <v>6.97</v>
      </c>
    </row>
    <row r="9" spans="1:192" ht="24.95" customHeight="1" thickBot="1" x14ac:dyDescent="0.3">
      <c r="A9" s="29" t="str">
        <f t="shared" si="0"/>
        <v>8º</v>
      </c>
      <c r="B9" s="69" t="str">
        <f t="shared" si="1"/>
        <v>Ollie Watkins</v>
      </c>
      <c r="C9" s="86" t="str">
        <f t="shared" si="2"/>
        <v>ENG</v>
      </c>
      <c r="D9" s="99" t="str">
        <f t="shared" si="3"/>
        <v>Pé Direito</v>
      </c>
      <c r="E9" s="28" t="str">
        <f t="shared" si="4"/>
        <v>Aston Villa</v>
      </c>
      <c r="F9" s="165">
        <f t="shared" si="5"/>
        <v>1.8</v>
      </c>
      <c r="G9" s="148">
        <f t="shared" si="6"/>
        <v>46934</v>
      </c>
      <c r="H9" s="167">
        <f t="shared" si="7"/>
        <v>30</v>
      </c>
      <c r="I9" s="200" t="str">
        <f t="shared" si="8"/>
        <v>€657m p/m</v>
      </c>
      <c r="J9" s="186" t="str">
        <f t="shared" si="9"/>
        <v>€48M - €61M</v>
      </c>
      <c r="K9" s="96">
        <f t="shared" si="10"/>
        <v>28.532222222222224</v>
      </c>
      <c r="L9" s="144">
        <f t="shared" si="11"/>
        <v>35.088888888888889</v>
      </c>
      <c r="M9" s="144">
        <f t="shared" si="12"/>
        <v>37</v>
      </c>
      <c r="N9" s="144">
        <f t="shared" si="13"/>
        <v>85.351351351351354</v>
      </c>
      <c r="O9" s="184">
        <f t="shared" si="14"/>
        <v>1</v>
      </c>
      <c r="P9" s="2">
        <f t="shared" si="15"/>
        <v>0</v>
      </c>
      <c r="Q9" s="5">
        <f t="shared" si="16"/>
        <v>0</v>
      </c>
      <c r="R9" s="5">
        <f t="shared" si="17"/>
        <v>0</v>
      </c>
      <c r="S9" s="5">
        <f t="shared" si="18"/>
        <v>0.48448385053831539</v>
      </c>
      <c r="T9" s="5">
        <f t="shared" si="19"/>
        <v>0.48448385053831539</v>
      </c>
      <c r="U9" s="6">
        <f t="shared" si="20"/>
        <v>1</v>
      </c>
      <c r="V9" s="24">
        <f t="shared" si="21"/>
        <v>3158</v>
      </c>
      <c r="W9" s="21">
        <f t="shared" si="22"/>
        <v>2.8499050031665613E-2</v>
      </c>
      <c r="X9" s="2">
        <f t="shared" si="23"/>
        <v>0</v>
      </c>
      <c r="Y9" s="2">
        <f t="shared" si="24"/>
        <v>17</v>
      </c>
      <c r="Z9" s="2">
        <f t="shared" si="25"/>
        <v>17</v>
      </c>
      <c r="AA9" s="353">
        <f t="shared" si="26"/>
        <v>-9.27</v>
      </c>
      <c r="AB9" s="353">
        <f t="shared" si="27"/>
        <v>2.2999999999999998</v>
      </c>
      <c r="AC9" s="354">
        <f t="shared" si="28"/>
        <v>6.97</v>
      </c>
      <c r="AD9" s="6">
        <f t="shared" si="29"/>
        <v>-6.97</v>
      </c>
      <c r="AE9" s="20">
        <f t="shared" si="30"/>
        <v>0</v>
      </c>
      <c r="AF9" s="20">
        <f t="shared" si="31"/>
        <v>1</v>
      </c>
      <c r="AG9" s="20">
        <f t="shared" si="32"/>
        <v>0.41</v>
      </c>
      <c r="AH9" s="5">
        <f t="shared" si="33"/>
        <v>0</v>
      </c>
      <c r="AI9" s="5">
        <f t="shared" si="34"/>
        <v>0.48448385053831539</v>
      </c>
      <c r="AJ9" s="5">
        <f t="shared" si="35"/>
        <v>0.48448385053831539</v>
      </c>
      <c r="AK9" s="5">
        <f t="shared" si="36"/>
        <v>-0.1986383787207093</v>
      </c>
      <c r="AL9" s="315">
        <f t="shared" si="37"/>
        <v>-0.26418619379354019</v>
      </c>
      <c r="AM9" s="315">
        <f t="shared" si="38"/>
        <v>6.5547815072830903E-2</v>
      </c>
      <c r="AN9" s="315">
        <f t="shared" si="39"/>
        <v>0</v>
      </c>
      <c r="AO9" s="21">
        <f t="shared" si="40"/>
        <v>0</v>
      </c>
      <c r="AP9" s="314">
        <f t="shared" si="41"/>
        <v>-19</v>
      </c>
      <c r="AQ9" s="315">
        <f t="shared" si="42"/>
        <v>-0.54148195060164661</v>
      </c>
      <c r="AR9" s="314">
        <f t="shared" si="43"/>
        <v>47</v>
      </c>
      <c r="AS9" s="315">
        <f t="shared" si="44"/>
        <v>1.3394553514882837</v>
      </c>
      <c r="AT9" s="318">
        <f t="shared" si="45"/>
        <v>-2.4736842105263159</v>
      </c>
      <c r="AU9" s="326">
        <f t="shared" si="46"/>
        <v>4</v>
      </c>
      <c r="AV9" s="314" t="str">
        <f t="shared" si="47"/>
        <v>375,9 km</v>
      </c>
      <c r="AW9" s="314">
        <f t="shared" si="48"/>
        <v>6.97</v>
      </c>
      <c r="AX9" s="329">
        <f t="shared" si="49"/>
        <v>0</v>
      </c>
      <c r="AY9" s="315">
        <f t="shared" si="50"/>
        <v>0.1986383787207093</v>
      </c>
      <c r="AZ9" s="20">
        <f t="shared" si="51"/>
        <v>1.0000000000000001E-5</v>
      </c>
      <c r="BA9" s="2">
        <f t="shared" si="52"/>
        <v>50</v>
      </c>
      <c r="BB9" s="2">
        <f t="shared" si="53"/>
        <v>51</v>
      </c>
      <c r="BC9" s="5">
        <f t="shared" si="54"/>
        <v>1.4249525015832805</v>
      </c>
      <c r="BD9" s="5">
        <f t="shared" si="55"/>
        <v>1.4534515516149462</v>
      </c>
      <c r="BE9" s="2">
        <f t="shared" si="56"/>
        <v>-1</v>
      </c>
      <c r="BF9" s="107">
        <f t="shared" si="57"/>
        <v>1.02</v>
      </c>
      <c r="BG9" s="107">
        <f t="shared" si="58"/>
        <v>-2.0000000000000018E-2</v>
      </c>
      <c r="BH9" s="338">
        <f t="shared" si="59"/>
        <v>3</v>
      </c>
      <c r="BI9" s="315">
        <f t="shared" si="60"/>
        <v>8.5497150094996838E-2</v>
      </c>
      <c r="BJ9" s="6">
        <f t="shared" si="61"/>
        <v>30</v>
      </c>
      <c r="BK9" s="5">
        <f t="shared" si="62"/>
        <v>0.85497150094996832</v>
      </c>
      <c r="BL9" s="6">
        <f t="shared" si="63"/>
        <v>-75</v>
      </c>
      <c r="BM9" s="5">
        <f t="shared" si="64"/>
        <v>-2.1374287523749209</v>
      </c>
      <c r="BN9" s="6">
        <f t="shared" si="65"/>
        <v>105</v>
      </c>
      <c r="BO9" s="5">
        <f t="shared" si="66"/>
        <v>2.992400253324889</v>
      </c>
      <c r="BP9" s="6">
        <f t="shared" si="67"/>
        <v>105</v>
      </c>
      <c r="BQ9" s="5">
        <f t="shared" si="68"/>
        <v>2.992400253324889</v>
      </c>
      <c r="BR9" s="21">
        <f t="shared" si="69"/>
        <v>3.5</v>
      </c>
      <c r="BS9" s="5">
        <f t="shared" si="70"/>
        <v>100</v>
      </c>
      <c r="BT9" s="5">
        <f t="shared" si="71"/>
        <v>0</v>
      </c>
      <c r="BU9" s="5">
        <f t="shared" si="72"/>
        <v>0</v>
      </c>
      <c r="BV9" s="107">
        <f t="shared" si="73"/>
        <v>0</v>
      </c>
      <c r="BW9" s="5">
        <f t="shared" si="74"/>
        <v>0</v>
      </c>
      <c r="BX9" s="5">
        <f t="shared" si="75"/>
        <v>0.50443318556048133</v>
      </c>
      <c r="BY9" s="5">
        <f t="shared" si="76"/>
        <v>0</v>
      </c>
      <c r="BZ9" s="276">
        <f t="shared" si="77"/>
        <v>-0.50443318556048133</v>
      </c>
      <c r="CA9" s="275">
        <f t="shared" si="78"/>
        <v>0</v>
      </c>
      <c r="CB9" s="5">
        <f t="shared" si="79"/>
        <v>105.26666666666667</v>
      </c>
      <c r="CC9" s="5">
        <f t="shared" si="80"/>
        <v>30.076190476190476</v>
      </c>
      <c r="CD9" s="5">
        <f t="shared" si="81"/>
        <v>3158</v>
      </c>
      <c r="CE9" s="5">
        <f t="shared" si="82"/>
        <v>185.76470588235293</v>
      </c>
      <c r="CF9" s="5">
        <f t="shared" si="83"/>
        <v>-17.7</v>
      </c>
      <c r="CG9" s="5">
        <f t="shared" si="84"/>
        <v>-6.97</v>
      </c>
      <c r="CH9" s="5">
        <f t="shared" si="85"/>
        <v>17.7</v>
      </c>
      <c r="CI9" s="5">
        <f t="shared" si="86"/>
        <v>0.50443318556048133</v>
      </c>
      <c r="CJ9" s="5">
        <f t="shared" si="87"/>
        <v>0</v>
      </c>
      <c r="CK9" s="5">
        <f t="shared" si="88"/>
        <v>0</v>
      </c>
      <c r="CL9" s="5">
        <f t="shared" si="89"/>
        <v>1.88</v>
      </c>
      <c r="CM9" s="5">
        <f t="shared" si="90"/>
        <v>5.3578214059531344E-2</v>
      </c>
      <c r="CN9" s="5">
        <f t="shared" si="91"/>
        <v>1.88</v>
      </c>
      <c r="CO9" s="5">
        <f t="shared" si="92"/>
        <v>5.3578214059531344E-2</v>
      </c>
      <c r="CP9" s="21">
        <f t="shared" si="93"/>
        <v>0</v>
      </c>
      <c r="CQ9" s="6">
        <f t="shared" si="94"/>
        <v>1048</v>
      </c>
      <c r="CR9" s="5">
        <f t="shared" si="95"/>
        <v>29.86700443318556</v>
      </c>
      <c r="CS9" s="5">
        <f t="shared" si="96"/>
        <v>1.88</v>
      </c>
      <c r="CT9" s="5">
        <f t="shared" si="97"/>
        <v>-15.120000000000001</v>
      </c>
      <c r="CU9" s="6">
        <f t="shared" si="98"/>
        <v>28</v>
      </c>
      <c r="CV9" s="5">
        <f t="shared" si="99"/>
        <v>0.79797340088663715</v>
      </c>
      <c r="CW9" s="6">
        <f t="shared" si="100"/>
        <v>0</v>
      </c>
      <c r="CX9" s="5">
        <f t="shared" si="101"/>
        <v>0</v>
      </c>
      <c r="CY9" s="21">
        <f t="shared" si="102"/>
        <v>0</v>
      </c>
      <c r="CZ9" s="340">
        <f t="shared" si="103"/>
        <v>34</v>
      </c>
      <c r="DA9" s="341">
        <f t="shared" si="104"/>
        <v>0.96896770107663077</v>
      </c>
      <c r="DB9" s="207">
        <f t="shared" si="105"/>
        <v>0.81127295756808104</v>
      </c>
      <c r="DC9" s="2">
        <f t="shared" si="106"/>
        <v>59</v>
      </c>
      <c r="DD9" s="5">
        <f t="shared" si="107"/>
        <v>1.6814439518682711</v>
      </c>
      <c r="DE9" s="2">
        <f t="shared" si="108"/>
        <v>13</v>
      </c>
      <c r="DF9" s="5">
        <f t="shared" si="109"/>
        <v>0.37048765041165294</v>
      </c>
      <c r="DG9" s="107">
        <f t="shared" si="110"/>
        <v>0.22033898305084745</v>
      </c>
      <c r="DH9" s="6">
        <f t="shared" si="111"/>
        <v>3</v>
      </c>
      <c r="DI9" s="5">
        <f t="shared" si="112"/>
        <v>8.5497150094996838E-2</v>
      </c>
      <c r="DJ9" s="6">
        <f t="shared" si="113"/>
        <v>210</v>
      </c>
      <c r="DK9" s="5">
        <f t="shared" si="114"/>
        <v>5.984800506649778</v>
      </c>
      <c r="DL9" s="5">
        <f t="shared" si="115"/>
        <v>42.7</v>
      </c>
      <c r="DM9" s="5">
        <f t="shared" si="116"/>
        <v>1.2169094363521218</v>
      </c>
      <c r="DN9" s="314">
        <f t="shared" si="117"/>
        <v>150.88222222222223</v>
      </c>
      <c r="DO9" s="339">
        <f t="shared" si="118"/>
        <v>4.3</v>
      </c>
      <c r="DP9" s="6" t="e">
        <f t="shared" si="119"/>
        <v>#VALUE!</v>
      </c>
      <c r="DQ9" s="5">
        <f t="shared" si="120"/>
        <v>0</v>
      </c>
      <c r="DR9" s="6">
        <f t="shared" si="121"/>
        <v>1420.97</v>
      </c>
      <c r="DS9" s="5">
        <f t="shared" si="122"/>
        <v>40.496295123495884</v>
      </c>
      <c r="DT9" s="208">
        <f t="shared" si="123"/>
        <v>35.088888888888889</v>
      </c>
      <c r="DU9" s="5">
        <f t="shared" si="124"/>
        <v>1</v>
      </c>
      <c r="DV9" s="21">
        <f t="shared" si="125"/>
        <v>0</v>
      </c>
      <c r="DW9" s="6">
        <f t="shared" si="126"/>
        <v>1167.68</v>
      </c>
      <c r="DX9" s="5">
        <f t="shared" si="127"/>
        <v>33.277770740975306</v>
      </c>
      <c r="DY9" s="5">
        <f t="shared" si="128"/>
        <v>0</v>
      </c>
      <c r="DZ9" s="178">
        <f t="shared" si="129"/>
        <v>1140</v>
      </c>
      <c r="EA9" s="5">
        <f t="shared" si="130"/>
        <v>32.488917036098798</v>
      </c>
      <c r="EB9" s="6">
        <f t="shared" si="131"/>
        <v>1187</v>
      </c>
      <c r="EC9" s="5">
        <f t="shared" si="132"/>
        <v>33.828372387587081</v>
      </c>
      <c r="ED9" s="21">
        <f t="shared" si="133"/>
        <v>1.0412280701754386</v>
      </c>
      <c r="EE9" s="6">
        <f t="shared" si="134"/>
        <v>0</v>
      </c>
      <c r="EF9" s="5">
        <f t="shared" si="135"/>
        <v>0</v>
      </c>
      <c r="EG9" s="6">
        <f t="shared" si="136"/>
        <v>1080</v>
      </c>
      <c r="EH9" s="5">
        <f t="shared" si="137"/>
        <v>30.77897403419886</v>
      </c>
      <c r="EI9" s="6">
        <f t="shared" si="138"/>
        <v>5</v>
      </c>
      <c r="EJ9" s="5">
        <f t="shared" si="139"/>
        <v>0.14249525015832806</v>
      </c>
      <c r="EK9" s="5">
        <f t="shared" si="140"/>
        <v>1</v>
      </c>
      <c r="EL9" s="5">
        <f t="shared" si="141"/>
        <v>7.48</v>
      </c>
      <c r="EM9" s="298"/>
      <c r="EN9" s="294" t="s">
        <v>641</v>
      </c>
      <c r="EO9" s="294" t="s">
        <v>1058</v>
      </c>
      <c r="EP9" s="294">
        <v>30</v>
      </c>
      <c r="EQ9" s="294" t="s">
        <v>997</v>
      </c>
      <c r="ER9" s="294" t="s">
        <v>563</v>
      </c>
      <c r="ES9" s="294" t="s">
        <v>601</v>
      </c>
      <c r="ET9" s="294" t="s">
        <v>1059</v>
      </c>
      <c r="EU9" s="294" t="s">
        <v>1060</v>
      </c>
      <c r="EV9" s="295">
        <v>46934</v>
      </c>
      <c r="EW9" s="294">
        <v>3158</v>
      </c>
      <c r="EX9" s="294">
        <v>37</v>
      </c>
      <c r="EY9" s="294">
        <v>1</v>
      </c>
      <c r="EZ9" s="294">
        <v>0</v>
      </c>
      <c r="FA9" s="294">
        <v>17</v>
      </c>
      <c r="FB9" s="294">
        <v>2</v>
      </c>
      <c r="FC9" s="294">
        <v>0</v>
      </c>
      <c r="FD9" s="294">
        <v>0</v>
      </c>
      <c r="FE9" s="294">
        <v>1</v>
      </c>
      <c r="FF9" s="294">
        <v>17.7</v>
      </c>
      <c r="FG9" s="294" t="s">
        <v>1061</v>
      </c>
      <c r="FH9" s="294">
        <v>28</v>
      </c>
      <c r="FI9" s="294">
        <v>210</v>
      </c>
      <c r="FJ9" s="294">
        <v>80</v>
      </c>
      <c r="FK9" s="294">
        <v>0</v>
      </c>
      <c r="FL9" s="294">
        <v>1048</v>
      </c>
      <c r="FM9" s="294">
        <v>945</v>
      </c>
      <c r="FN9" s="294">
        <v>34</v>
      </c>
      <c r="FO9" s="294">
        <v>30</v>
      </c>
      <c r="FP9" s="294">
        <v>105</v>
      </c>
      <c r="FQ9" s="294">
        <v>50</v>
      </c>
      <c r="FR9" s="294">
        <v>51</v>
      </c>
      <c r="FS9" s="294">
        <v>22</v>
      </c>
      <c r="FT9" s="294">
        <v>12</v>
      </c>
      <c r="FU9" s="294">
        <v>9</v>
      </c>
      <c r="FV9" s="294">
        <v>1</v>
      </c>
      <c r="FW9" s="294">
        <v>3</v>
      </c>
      <c r="FX9" s="294">
        <v>28</v>
      </c>
      <c r="FY9" s="294">
        <v>0</v>
      </c>
      <c r="FZ9" s="294">
        <v>9</v>
      </c>
      <c r="GA9" s="294">
        <v>47</v>
      </c>
      <c r="GB9" s="294">
        <v>2.2999999999999998</v>
      </c>
      <c r="GC9" s="294">
        <v>0</v>
      </c>
      <c r="GD9" s="294">
        <v>4</v>
      </c>
      <c r="GE9" s="294">
        <v>3</v>
      </c>
      <c r="GF9" s="294" t="s">
        <v>1062</v>
      </c>
      <c r="GG9" s="299">
        <v>6.97</v>
      </c>
      <c r="GH9" s="399">
        <v>4.3</v>
      </c>
      <c r="GI9" s="399" t="s">
        <v>984</v>
      </c>
      <c r="GJ9" s="399">
        <v>7.48</v>
      </c>
    </row>
    <row r="10" spans="1:192" ht="24.95" customHeight="1" thickBot="1" x14ac:dyDescent="0.3">
      <c r="A10" s="29" t="str">
        <f t="shared" si="0"/>
        <v>9º</v>
      </c>
      <c r="B10" s="69" t="str">
        <f t="shared" si="1"/>
        <v>Randal Kolo Muani</v>
      </c>
      <c r="C10" s="86" t="str">
        <f t="shared" si="2"/>
        <v>FRA</v>
      </c>
      <c r="D10" s="99" t="str">
        <f t="shared" si="3"/>
        <v>Pé Direito</v>
      </c>
      <c r="E10" s="28" t="str">
        <f t="shared" si="4"/>
        <v>Tottenham</v>
      </c>
      <c r="F10" s="165">
        <f t="shared" si="5"/>
        <v>1.87</v>
      </c>
      <c r="G10" s="148">
        <f t="shared" si="6"/>
        <v>46934</v>
      </c>
      <c r="H10" s="167">
        <f t="shared" si="7"/>
        <v>27</v>
      </c>
      <c r="I10" s="200" t="str">
        <f t="shared" si="8"/>
        <v>€754m p/m</v>
      </c>
      <c r="J10" s="186" t="str">
        <f t="shared" si="9"/>
        <v>€65M - €78M</v>
      </c>
      <c r="K10" s="96">
        <f t="shared" si="10"/>
        <v>28.532222222222224</v>
      </c>
      <c r="L10" s="144">
        <f t="shared" si="11"/>
        <v>34.677777777777777</v>
      </c>
      <c r="M10" s="144">
        <f t="shared" si="12"/>
        <v>43</v>
      </c>
      <c r="N10" s="144">
        <f t="shared" si="13"/>
        <v>72.581395348837205</v>
      </c>
      <c r="O10" s="184">
        <f t="shared" si="14"/>
        <v>0.98</v>
      </c>
      <c r="P10" s="2">
        <f t="shared" si="15"/>
        <v>2</v>
      </c>
      <c r="Q10" s="5">
        <f t="shared" si="16"/>
        <v>0</v>
      </c>
      <c r="R10" s="5">
        <f t="shared" si="17"/>
        <v>0</v>
      </c>
      <c r="S10" s="5">
        <f t="shared" si="18"/>
        <v>0.37487984620314002</v>
      </c>
      <c r="T10" s="5">
        <f t="shared" si="19"/>
        <v>0.37487984620314002</v>
      </c>
      <c r="U10" s="6">
        <f t="shared" si="20"/>
        <v>6</v>
      </c>
      <c r="V10" s="24">
        <f t="shared" si="21"/>
        <v>520.16666666666663</v>
      </c>
      <c r="W10" s="21">
        <f t="shared" si="22"/>
        <v>0.17302146747837233</v>
      </c>
      <c r="X10" s="2">
        <f t="shared" si="23"/>
        <v>0</v>
      </c>
      <c r="Y10" s="2">
        <f t="shared" si="24"/>
        <v>13</v>
      </c>
      <c r="Z10" s="2">
        <f t="shared" si="25"/>
        <v>13</v>
      </c>
      <c r="AA10" s="353">
        <f t="shared" si="26"/>
        <v>-9.75</v>
      </c>
      <c r="AB10" s="353">
        <f t="shared" si="27"/>
        <v>2.7</v>
      </c>
      <c r="AC10" s="354">
        <f t="shared" si="28"/>
        <v>7.05</v>
      </c>
      <c r="AD10" s="6">
        <f t="shared" si="29"/>
        <v>-7.05</v>
      </c>
      <c r="AE10" s="20">
        <f t="shared" si="30"/>
        <v>0</v>
      </c>
      <c r="AF10" s="20">
        <f t="shared" si="31"/>
        <v>1</v>
      </c>
      <c r="AG10" s="20">
        <f t="shared" si="32"/>
        <v>0.54230769230769227</v>
      </c>
      <c r="AH10" s="5">
        <f t="shared" si="33"/>
        <v>0</v>
      </c>
      <c r="AI10" s="5">
        <f t="shared" si="34"/>
        <v>0.37487984620314002</v>
      </c>
      <c r="AJ10" s="5">
        <f t="shared" si="35"/>
        <v>0.37487984620314002</v>
      </c>
      <c r="AK10" s="5">
        <f t="shared" si="36"/>
        <v>-0.20330022428708747</v>
      </c>
      <c r="AL10" s="315">
        <f t="shared" si="37"/>
        <v>-0.28115988465235503</v>
      </c>
      <c r="AM10" s="315">
        <f t="shared" si="38"/>
        <v>7.785966036526755E-2</v>
      </c>
      <c r="AN10" s="315">
        <f t="shared" si="39"/>
        <v>1</v>
      </c>
      <c r="AO10" s="21">
        <f t="shared" si="40"/>
        <v>7.785966036526755E-2</v>
      </c>
      <c r="AP10" s="314">
        <f t="shared" si="41"/>
        <v>-38</v>
      </c>
      <c r="AQ10" s="315">
        <f t="shared" si="42"/>
        <v>-1.0958026273630246</v>
      </c>
      <c r="AR10" s="314">
        <f t="shared" si="43"/>
        <v>50</v>
      </c>
      <c r="AS10" s="315">
        <f t="shared" si="44"/>
        <v>1.4418455623197692</v>
      </c>
      <c r="AT10" s="318">
        <f t="shared" si="45"/>
        <v>-1.3157894736842106</v>
      </c>
      <c r="AU10" s="326">
        <f t="shared" si="46"/>
        <v>3</v>
      </c>
      <c r="AV10" s="314" t="str">
        <f t="shared" si="47"/>
        <v>376,8 km</v>
      </c>
      <c r="AW10" s="314">
        <f t="shared" si="48"/>
        <v>7.05</v>
      </c>
      <c r="AX10" s="329">
        <f t="shared" si="49"/>
        <v>0</v>
      </c>
      <c r="AY10" s="315">
        <f t="shared" si="50"/>
        <v>0.20330022428708747</v>
      </c>
      <c r="AZ10" s="20">
        <f t="shared" si="51"/>
        <v>1.0000000000000001E-5</v>
      </c>
      <c r="BA10" s="2">
        <f t="shared" si="52"/>
        <v>66</v>
      </c>
      <c r="BB10" s="2">
        <f t="shared" si="53"/>
        <v>125</v>
      </c>
      <c r="BC10" s="5">
        <f t="shared" si="54"/>
        <v>1.9032361422620956</v>
      </c>
      <c r="BD10" s="5">
        <f t="shared" si="55"/>
        <v>3.6046139057994235</v>
      </c>
      <c r="BE10" s="2">
        <f t="shared" si="56"/>
        <v>-59</v>
      </c>
      <c r="BF10" s="107">
        <f t="shared" si="57"/>
        <v>1.893939393939394</v>
      </c>
      <c r="BG10" s="107">
        <f t="shared" si="58"/>
        <v>-0.89393939393939403</v>
      </c>
      <c r="BH10" s="338">
        <f t="shared" si="59"/>
        <v>3</v>
      </c>
      <c r="BI10" s="315">
        <f t="shared" si="60"/>
        <v>8.6510733739186163E-2</v>
      </c>
      <c r="BJ10" s="6">
        <f t="shared" si="61"/>
        <v>78</v>
      </c>
      <c r="BK10" s="5">
        <f t="shared" si="62"/>
        <v>2.2492790772188402</v>
      </c>
      <c r="BL10" s="6">
        <f t="shared" si="63"/>
        <v>-61</v>
      </c>
      <c r="BM10" s="5">
        <f t="shared" si="64"/>
        <v>-1.7590515860301186</v>
      </c>
      <c r="BN10" s="6">
        <f t="shared" si="65"/>
        <v>139</v>
      </c>
      <c r="BO10" s="5">
        <f t="shared" si="66"/>
        <v>4.0083306632489588</v>
      </c>
      <c r="BP10" s="6">
        <f t="shared" si="67"/>
        <v>139</v>
      </c>
      <c r="BQ10" s="5">
        <f t="shared" si="68"/>
        <v>4.0083306632489588</v>
      </c>
      <c r="BR10" s="21">
        <f t="shared" si="69"/>
        <v>1.7820512820512822</v>
      </c>
      <c r="BS10" s="5">
        <f t="shared" si="70"/>
        <v>100</v>
      </c>
      <c r="BT10" s="5">
        <f t="shared" si="71"/>
        <v>0</v>
      </c>
      <c r="BU10" s="5">
        <f t="shared" si="72"/>
        <v>0</v>
      </c>
      <c r="BV10" s="107">
        <f t="shared" si="73"/>
        <v>0</v>
      </c>
      <c r="BW10" s="5">
        <f t="shared" si="74"/>
        <v>0</v>
      </c>
      <c r="BX10" s="5">
        <f t="shared" si="75"/>
        <v>0.53925024030759372</v>
      </c>
      <c r="BY10" s="5">
        <f t="shared" si="76"/>
        <v>0</v>
      </c>
      <c r="BZ10" s="276">
        <f t="shared" si="77"/>
        <v>-0.53925024030759372</v>
      </c>
      <c r="CA10" s="275">
        <f t="shared" si="78"/>
        <v>0</v>
      </c>
      <c r="CB10" s="5">
        <f t="shared" si="79"/>
        <v>40.012820512820511</v>
      </c>
      <c r="CC10" s="5">
        <f t="shared" si="80"/>
        <v>22.453237410071942</v>
      </c>
      <c r="CD10" s="5">
        <f t="shared" si="81"/>
        <v>3121</v>
      </c>
      <c r="CE10" s="5">
        <f t="shared" si="82"/>
        <v>240.07692307692307</v>
      </c>
      <c r="CF10" s="5">
        <f t="shared" si="83"/>
        <v>-18.7</v>
      </c>
      <c r="CG10" s="5">
        <f t="shared" si="84"/>
        <v>-7.05</v>
      </c>
      <c r="CH10" s="5">
        <f t="shared" si="85"/>
        <v>18.7</v>
      </c>
      <c r="CI10" s="5">
        <f t="shared" si="86"/>
        <v>0.53925024030759372</v>
      </c>
      <c r="CJ10" s="5">
        <f t="shared" si="87"/>
        <v>0</v>
      </c>
      <c r="CK10" s="5">
        <f t="shared" si="88"/>
        <v>0</v>
      </c>
      <c r="CL10" s="5">
        <f t="shared" si="89"/>
        <v>5.27</v>
      </c>
      <c r="CM10" s="5">
        <f t="shared" si="90"/>
        <v>0.15197052226850369</v>
      </c>
      <c r="CN10" s="5">
        <f t="shared" si="91"/>
        <v>5.27</v>
      </c>
      <c r="CO10" s="5">
        <f t="shared" si="92"/>
        <v>0.15197052226850369</v>
      </c>
      <c r="CP10" s="21">
        <f t="shared" si="93"/>
        <v>0</v>
      </c>
      <c r="CQ10" s="6">
        <f t="shared" si="94"/>
        <v>1111</v>
      </c>
      <c r="CR10" s="5">
        <f t="shared" si="95"/>
        <v>32.037808394745277</v>
      </c>
      <c r="CS10" s="5">
        <f t="shared" si="96"/>
        <v>5.27</v>
      </c>
      <c r="CT10" s="5">
        <f t="shared" si="97"/>
        <v>-7.73</v>
      </c>
      <c r="CU10" s="6">
        <f t="shared" si="98"/>
        <v>41</v>
      </c>
      <c r="CV10" s="5">
        <f t="shared" si="99"/>
        <v>1.1823133611022107</v>
      </c>
      <c r="CW10" s="6">
        <f t="shared" si="100"/>
        <v>0</v>
      </c>
      <c r="CX10" s="5">
        <f t="shared" si="101"/>
        <v>0</v>
      </c>
      <c r="CY10" s="21">
        <f t="shared" si="102"/>
        <v>0</v>
      </c>
      <c r="CZ10" s="340">
        <f t="shared" si="103"/>
        <v>62</v>
      </c>
      <c r="DA10" s="341">
        <f t="shared" si="104"/>
        <v>1.7878884972765139</v>
      </c>
      <c r="DB10" s="207">
        <f t="shared" si="105"/>
        <v>0</v>
      </c>
      <c r="DC10" s="2">
        <f t="shared" si="106"/>
        <v>101</v>
      </c>
      <c r="DD10" s="5">
        <f t="shared" si="107"/>
        <v>2.9125280358859342</v>
      </c>
      <c r="DE10" s="2">
        <f t="shared" si="108"/>
        <v>31</v>
      </c>
      <c r="DF10" s="5">
        <f t="shared" si="109"/>
        <v>0.89394424863825694</v>
      </c>
      <c r="DG10" s="107">
        <f t="shared" si="110"/>
        <v>0.30693069306930693</v>
      </c>
      <c r="DH10" s="6">
        <f t="shared" si="111"/>
        <v>2</v>
      </c>
      <c r="DI10" s="5">
        <f t="shared" si="112"/>
        <v>5.7673822492790773E-2</v>
      </c>
      <c r="DJ10" s="6">
        <f t="shared" si="113"/>
        <v>176</v>
      </c>
      <c r="DK10" s="5">
        <f t="shared" si="114"/>
        <v>5.0752963793655876</v>
      </c>
      <c r="DL10" s="5" t="e">
        <f t="shared" si="115"/>
        <v>#VALUE!</v>
      </c>
      <c r="DM10" s="5">
        <f t="shared" si="116"/>
        <v>0</v>
      </c>
      <c r="DN10" s="314">
        <f t="shared" si="117"/>
        <v>0</v>
      </c>
      <c r="DO10" s="339">
        <f t="shared" si="118"/>
        <v>0</v>
      </c>
      <c r="DP10" s="6" t="e">
        <f t="shared" si="119"/>
        <v>#VALUE!</v>
      </c>
      <c r="DQ10" s="5">
        <f t="shared" si="120"/>
        <v>0</v>
      </c>
      <c r="DR10" s="6">
        <f t="shared" si="121"/>
        <v>1508.05</v>
      </c>
      <c r="DS10" s="5">
        <f t="shared" si="122"/>
        <v>43.48750400512656</v>
      </c>
      <c r="DT10" s="208">
        <f t="shared" si="123"/>
        <v>312.10000000000002</v>
      </c>
      <c r="DU10" s="5">
        <f t="shared" si="124"/>
        <v>9</v>
      </c>
      <c r="DV10" s="21">
        <f t="shared" si="125"/>
        <v>0</v>
      </c>
      <c r="DW10" s="6">
        <f t="shared" si="126"/>
        <v>1272.47</v>
      </c>
      <c r="DX10" s="5">
        <f t="shared" si="127"/>
        <v>36.694104453700739</v>
      </c>
      <c r="DY10" s="5">
        <f t="shared" si="128"/>
        <v>0</v>
      </c>
      <c r="DZ10" s="178">
        <f t="shared" si="129"/>
        <v>1292</v>
      </c>
      <c r="EA10" s="5">
        <f t="shared" si="130"/>
        <v>37.257289330342843</v>
      </c>
      <c r="EB10" s="6">
        <f t="shared" si="131"/>
        <v>1312</v>
      </c>
      <c r="EC10" s="5">
        <f t="shared" si="132"/>
        <v>37.834027555270744</v>
      </c>
      <c r="ED10" s="21">
        <f t="shared" si="133"/>
        <v>1.0154798761609907</v>
      </c>
      <c r="EE10" s="6">
        <f t="shared" si="134"/>
        <v>0</v>
      </c>
      <c r="EF10" s="5">
        <f t="shared" si="135"/>
        <v>0</v>
      </c>
      <c r="EG10" s="6">
        <f t="shared" si="136"/>
        <v>1197</v>
      </c>
      <c r="EH10" s="5">
        <f t="shared" si="137"/>
        <v>34.51778276193528</v>
      </c>
      <c r="EI10" s="6">
        <f t="shared" si="138"/>
        <v>11</v>
      </c>
      <c r="EJ10" s="5">
        <f t="shared" si="139"/>
        <v>0.31720602371034923</v>
      </c>
      <c r="EK10" s="5">
        <f t="shared" si="140"/>
        <v>9</v>
      </c>
      <c r="EL10" s="5">
        <f t="shared" si="141"/>
        <v>0</v>
      </c>
      <c r="EM10" s="298"/>
      <c r="EN10" s="294" t="s">
        <v>642</v>
      </c>
      <c r="EO10" s="294" t="s">
        <v>1069</v>
      </c>
      <c r="EP10" s="294">
        <v>27</v>
      </c>
      <c r="EQ10" s="294" t="s">
        <v>1006</v>
      </c>
      <c r="ER10" s="294" t="s">
        <v>630</v>
      </c>
      <c r="ES10" s="294" t="s">
        <v>601</v>
      </c>
      <c r="ET10" s="294" t="s">
        <v>1070</v>
      </c>
      <c r="EU10" s="294" t="s">
        <v>1071</v>
      </c>
      <c r="EV10" s="295">
        <v>46934</v>
      </c>
      <c r="EW10" s="294">
        <v>3121</v>
      </c>
      <c r="EX10" s="294" t="s">
        <v>1072</v>
      </c>
      <c r="EY10" s="294">
        <v>6</v>
      </c>
      <c r="EZ10" s="294">
        <v>0</v>
      </c>
      <c r="FA10" s="294">
        <v>13</v>
      </c>
      <c r="FB10" s="294">
        <v>8</v>
      </c>
      <c r="FC10" s="294">
        <v>2</v>
      </c>
      <c r="FD10" s="294">
        <v>0</v>
      </c>
      <c r="FE10" s="294">
        <v>9</v>
      </c>
      <c r="FF10" s="294">
        <v>18.7</v>
      </c>
      <c r="FG10" s="294" t="s">
        <v>1073</v>
      </c>
      <c r="FH10" s="294">
        <v>36</v>
      </c>
      <c r="FI10" s="294">
        <v>176</v>
      </c>
      <c r="FJ10" s="294">
        <v>72</v>
      </c>
      <c r="FK10" s="294">
        <v>0</v>
      </c>
      <c r="FL10" s="294">
        <v>1111</v>
      </c>
      <c r="FM10" s="294">
        <v>1009</v>
      </c>
      <c r="FN10" s="294">
        <v>62</v>
      </c>
      <c r="FO10" s="294">
        <v>78</v>
      </c>
      <c r="FP10" s="294">
        <v>139</v>
      </c>
      <c r="FQ10" s="294">
        <v>66</v>
      </c>
      <c r="FR10" s="294">
        <v>125</v>
      </c>
      <c r="FS10" s="294">
        <v>43</v>
      </c>
      <c r="FT10" s="294">
        <v>31</v>
      </c>
      <c r="FU10" s="294">
        <v>22</v>
      </c>
      <c r="FV10" s="294">
        <v>0</v>
      </c>
      <c r="FW10" s="294">
        <v>2</v>
      </c>
      <c r="FX10" s="294">
        <v>41</v>
      </c>
      <c r="FY10" s="294">
        <v>0</v>
      </c>
      <c r="FZ10" s="294">
        <v>3</v>
      </c>
      <c r="GA10" s="294">
        <v>50</v>
      </c>
      <c r="GB10" s="294">
        <v>2.7</v>
      </c>
      <c r="GC10" s="294">
        <v>1</v>
      </c>
      <c r="GD10" s="294">
        <v>3</v>
      </c>
      <c r="GE10" s="294">
        <v>3</v>
      </c>
      <c r="GF10" s="294" t="s">
        <v>1074</v>
      </c>
      <c r="GG10" s="299">
        <v>7.05</v>
      </c>
    </row>
    <row r="11" spans="1:192" ht="24.95" customHeight="1" thickBot="1" x14ac:dyDescent="0.3">
      <c r="A11" s="29" t="str">
        <f t="shared" si="0"/>
        <v>10º</v>
      </c>
      <c r="B11" s="69" t="str">
        <f t="shared" si="1"/>
        <v>Viktor Gyökeres</v>
      </c>
      <c r="C11" s="86" t="str">
        <f t="shared" si="2"/>
        <v>SWE</v>
      </c>
      <c r="D11" s="99" t="str">
        <f t="shared" si="3"/>
        <v>Pé Direito</v>
      </c>
      <c r="E11" s="28" t="str">
        <f t="shared" si="4"/>
        <v>Arsenal</v>
      </c>
      <c r="F11" s="165">
        <f t="shared" si="5"/>
        <v>1.87</v>
      </c>
      <c r="G11" s="148">
        <f t="shared" si="6"/>
        <v>47664</v>
      </c>
      <c r="H11" s="167">
        <f t="shared" si="7"/>
        <v>27</v>
      </c>
      <c r="I11" s="200" t="str">
        <f t="shared" si="8"/>
        <v>€320m p/m</v>
      </c>
      <c r="J11" s="186" t="str">
        <f t="shared" si="9"/>
        <v>€71M - €90M</v>
      </c>
      <c r="K11" s="96">
        <f t="shared" si="10"/>
        <v>28.532222222222224</v>
      </c>
      <c r="L11" s="144">
        <f t="shared" si="11"/>
        <v>32.777777777777779</v>
      </c>
      <c r="M11" s="144">
        <f t="shared" si="12"/>
        <v>36</v>
      </c>
      <c r="N11" s="144">
        <f t="shared" si="13"/>
        <v>81.944444444444443</v>
      </c>
      <c r="O11" s="184">
        <f t="shared" si="14"/>
        <v>1</v>
      </c>
      <c r="P11" s="2">
        <f t="shared" si="15"/>
        <v>6</v>
      </c>
      <c r="Q11" s="5">
        <f t="shared" si="16"/>
        <v>0</v>
      </c>
      <c r="R11" s="5">
        <f t="shared" si="17"/>
        <v>0</v>
      </c>
      <c r="S11" s="5">
        <f t="shared" si="18"/>
        <v>0.70169491525423722</v>
      </c>
      <c r="T11" s="5">
        <f t="shared" si="19"/>
        <v>0.70169491525423722</v>
      </c>
      <c r="U11" s="6">
        <f t="shared" si="20"/>
        <v>5</v>
      </c>
      <c r="V11" s="24">
        <f t="shared" si="21"/>
        <v>590</v>
      </c>
      <c r="W11" s="21">
        <f t="shared" si="22"/>
        <v>0.15254237288135594</v>
      </c>
      <c r="X11" s="2">
        <f t="shared" si="23"/>
        <v>0</v>
      </c>
      <c r="Y11" s="2">
        <f t="shared" si="24"/>
        <v>23</v>
      </c>
      <c r="Z11" s="2">
        <f t="shared" si="25"/>
        <v>23</v>
      </c>
      <c r="AA11" s="353">
        <f t="shared" si="26"/>
        <v>-9.39</v>
      </c>
      <c r="AB11" s="353">
        <f t="shared" si="27"/>
        <v>2.1</v>
      </c>
      <c r="AC11" s="354">
        <f t="shared" si="28"/>
        <v>7.29</v>
      </c>
      <c r="AD11" s="6">
        <f t="shared" si="29"/>
        <v>-7.29</v>
      </c>
      <c r="AE11" s="20">
        <f t="shared" si="30"/>
        <v>0</v>
      </c>
      <c r="AF11" s="20">
        <f t="shared" si="31"/>
        <v>1</v>
      </c>
      <c r="AG11" s="20">
        <f t="shared" si="32"/>
        <v>0.31695652173913041</v>
      </c>
      <c r="AH11" s="5">
        <f t="shared" si="33"/>
        <v>0</v>
      </c>
      <c r="AI11" s="5">
        <f t="shared" si="34"/>
        <v>0.70169491525423722</v>
      </c>
      <c r="AJ11" s="5">
        <f t="shared" si="35"/>
        <v>0.70169491525423722</v>
      </c>
      <c r="AK11" s="5">
        <f t="shared" si="36"/>
        <v>-0.22240677966101693</v>
      </c>
      <c r="AL11" s="315">
        <f t="shared" si="37"/>
        <v>-0.28647457627118644</v>
      </c>
      <c r="AM11" s="315">
        <f t="shared" si="38"/>
        <v>6.4067796610169495E-2</v>
      </c>
      <c r="AN11" s="315">
        <f t="shared" si="39"/>
        <v>0</v>
      </c>
      <c r="AO11" s="21">
        <f t="shared" si="40"/>
        <v>0</v>
      </c>
      <c r="AP11" s="314">
        <f t="shared" si="41"/>
        <v>-21</v>
      </c>
      <c r="AQ11" s="315">
        <f t="shared" si="42"/>
        <v>-0.64067796610169492</v>
      </c>
      <c r="AR11" s="314">
        <f t="shared" si="43"/>
        <v>68</v>
      </c>
      <c r="AS11" s="315">
        <f t="shared" si="44"/>
        <v>2.0745762711864408</v>
      </c>
      <c r="AT11" s="318">
        <f t="shared" si="45"/>
        <v>-3.2380952380952381</v>
      </c>
      <c r="AU11" s="326">
        <f t="shared" si="46"/>
        <v>6</v>
      </c>
      <c r="AV11" s="314" t="str">
        <f t="shared" si="47"/>
        <v>350,7 km</v>
      </c>
      <c r="AW11" s="314">
        <f t="shared" si="48"/>
        <v>7.29</v>
      </c>
      <c r="AX11" s="329">
        <f t="shared" si="49"/>
        <v>0</v>
      </c>
      <c r="AY11" s="315">
        <f t="shared" si="50"/>
        <v>0.22240677966101693</v>
      </c>
      <c r="AZ11" s="20">
        <f t="shared" si="51"/>
        <v>1.0000000000000001E-5</v>
      </c>
      <c r="BA11" s="2">
        <f t="shared" si="52"/>
        <v>55</v>
      </c>
      <c r="BB11" s="2">
        <f t="shared" si="53"/>
        <v>45</v>
      </c>
      <c r="BC11" s="5">
        <f t="shared" si="54"/>
        <v>1.6779661016949152</v>
      </c>
      <c r="BD11" s="5">
        <f t="shared" si="55"/>
        <v>1.3728813559322033</v>
      </c>
      <c r="BE11" s="2">
        <f t="shared" si="56"/>
        <v>10</v>
      </c>
      <c r="BF11" s="107">
        <f t="shared" si="57"/>
        <v>0.81818181818181823</v>
      </c>
      <c r="BG11" s="107">
        <f t="shared" si="58"/>
        <v>0.18181818181818177</v>
      </c>
      <c r="BH11" s="338">
        <f t="shared" si="59"/>
        <v>4</v>
      </c>
      <c r="BI11" s="315">
        <f t="shared" si="60"/>
        <v>0.12203389830508474</v>
      </c>
      <c r="BJ11" s="6">
        <f t="shared" si="61"/>
        <v>35</v>
      </c>
      <c r="BK11" s="5">
        <f t="shared" si="62"/>
        <v>1.0677966101694916</v>
      </c>
      <c r="BL11" s="6">
        <f t="shared" si="63"/>
        <v>-62</v>
      </c>
      <c r="BM11" s="5">
        <f t="shared" si="64"/>
        <v>-1.8915254237288135</v>
      </c>
      <c r="BN11" s="6">
        <f t="shared" si="65"/>
        <v>97</v>
      </c>
      <c r="BO11" s="5">
        <f t="shared" si="66"/>
        <v>2.9593220338983048</v>
      </c>
      <c r="BP11" s="6">
        <f t="shared" si="67"/>
        <v>97</v>
      </c>
      <c r="BQ11" s="5">
        <f t="shared" si="68"/>
        <v>2.9593220338983048</v>
      </c>
      <c r="BR11" s="21">
        <f t="shared" si="69"/>
        <v>2.7714285714285714</v>
      </c>
      <c r="BS11" s="5">
        <f t="shared" si="70"/>
        <v>100</v>
      </c>
      <c r="BT11" s="5">
        <f t="shared" si="71"/>
        <v>0</v>
      </c>
      <c r="BU11" s="5">
        <f t="shared" si="72"/>
        <v>0</v>
      </c>
      <c r="BV11" s="107">
        <f t="shared" si="73"/>
        <v>0</v>
      </c>
      <c r="BW11" s="5">
        <f t="shared" si="74"/>
        <v>0</v>
      </c>
      <c r="BX11" s="5">
        <f t="shared" si="75"/>
        <v>0.42406779661016947</v>
      </c>
      <c r="BY11" s="5">
        <f t="shared" si="76"/>
        <v>0</v>
      </c>
      <c r="BZ11" s="276">
        <f t="shared" si="77"/>
        <v>-0.42406779661016947</v>
      </c>
      <c r="CA11" s="275">
        <f t="shared" si="78"/>
        <v>0</v>
      </c>
      <c r="CB11" s="5">
        <f t="shared" si="79"/>
        <v>84.285714285714292</v>
      </c>
      <c r="CC11" s="5">
        <f t="shared" si="80"/>
        <v>30.412371134020617</v>
      </c>
      <c r="CD11" s="5">
        <f t="shared" si="81"/>
        <v>2950</v>
      </c>
      <c r="CE11" s="5">
        <f t="shared" si="82"/>
        <v>128.2608695652174</v>
      </c>
      <c r="CF11" s="5">
        <f t="shared" si="83"/>
        <v>-13.9</v>
      </c>
      <c r="CG11" s="5">
        <f t="shared" si="84"/>
        <v>-7.29</v>
      </c>
      <c r="CH11" s="5">
        <f t="shared" si="85"/>
        <v>13.9</v>
      </c>
      <c r="CI11" s="5">
        <f t="shared" si="86"/>
        <v>0.42406779661016947</v>
      </c>
      <c r="CJ11" s="5">
        <f t="shared" si="87"/>
        <v>0</v>
      </c>
      <c r="CK11" s="5">
        <f t="shared" si="88"/>
        <v>0</v>
      </c>
      <c r="CL11" s="5">
        <f t="shared" si="89"/>
        <v>4.58</v>
      </c>
      <c r="CM11" s="5">
        <f t="shared" si="90"/>
        <v>0.13972881355932204</v>
      </c>
      <c r="CN11" s="5">
        <f t="shared" si="91"/>
        <v>4.58</v>
      </c>
      <c r="CO11" s="5">
        <f t="shared" si="92"/>
        <v>0.13972881355932204</v>
      </c>
      <c r="CP11" s="21">
        <f t="shared" si="93"/>
        <v>0</v>
      </c>
      <c r="CQ11" s="6">
        <f t="shared" si="94"/>
        <v>986</v>
      </c>
      <c r="CR11" s="5">
        <f t="shared" si="95"/>
        <v>30.08135593220339</v>
      </c>
      <c r="CS11" s="5">
        <f t="shared" si="96"/>
        <v>4.58</v>
      </c>
      <c r="CT11" s="5">
        <f t="shared" si="97"/>
        <v>-18.420000000000002</v>
      </c>
      <c r="CU11" s="6">
        <f t="shared" si="98"/>
        <v>24</v>
      </c>
      <c r="CV11" s="5">
        <f t="shared" si="99"/>
        <v>0.73220338983050848</v>
      </c>
      <c r="CW11" s="6">
        <f t="shared" si="100"/>
        <v>0</v>
      </c>
      <c r="CX11" s="5">
        <f t="shared" si="101"/>
        <v>0</v>
      </c>
      <c r="CY11" s="21">
        <f t="shared" si="102"/>
        <v>0</v>
      </c>
      <c r="CZ11" s="340">
        <f t="shared" si="103"/>
        <v>46</v>
      </c>
      <c r="DA11" s="341">
        <f t="shared" si="104"/>
        <v>1.4033898305084744</v>
      </c>
      <c r="DB11" s="207">
        <f t="shared" si="105"/>
        <v>2.16406779661017</v>
      </c>
      <c r="DC11" s="2">
        <f t="shared" si="106"/>
        <v>58</v>
      </c>
      <c r="DD11" s="5">
        <f t="shared" si="107"/>
        <v>1.7694915254237287</v>
      </c>
      <c r="DE11" s="2">
        <f t="shared" si="108"/>
        <v>4</v>
      </c>
      <c r="DF11" s="5">
        <f t="shared" si="109"/>
        <v>0.12203389830508474</v>
      </c>
      <c r="DG11" s="107">
        <f t="shared" si="110"/>
        <v>6.8965517241379309E-2</v>
      </c>
      <c r="DH11" s="6">
        <f t="shared" si="111"/>
        <v>1</v>
      </c>
      <c r="DI11" s="5">
        <f t="shared" si="112"/>
        <v>3.0508474576271184E-2</v>
      </c>
      <c r="DJ11" s="6">
        <f t="shared" si="113"/>
        <v>248</v>
      </c>
      <c r="DK11" s="5">
        <f t="shared" si="114"/>
        <v>7.566101694915254</v>
      </c>
      <c r="DL11" s="5">
        <f t="shared" si="115"/>
        <v>106.4</v>
      </c>
      <c r="DM11" s="5">
        <f t="shared" si="116"/>
        <v>3.2461016949152541</v>
      </c>
      <c r="DN11" s="314">
        <f t="shared" si="117"/>
        <v>416.27777777777777</v>
      </c>
      <c r="DO11" s="339">
        <f t="shared" si="118"/>
        <v>12.7</v>
      </c>
      <c r="DP11" s="6" t="e">
        <f t="shared" si="119"/>
        <v>#VALUE!</v>
      </c>
      <c r="DQ11" s="5">
        <f t="shared" si="120"/>
        <v>0</v>
      </c>
      <c r="DR11" s="6">
        <f t="shared" si="121"/>
        <v>1407.29</v>
      </c>
      <c r="DS11" s="5">
        <f t="shared" si="122"/>
        <v>42.934271186440675</v>
      </c>
      <c r="DT11" s="208">
        <f t="shared" si="123"/>
        <v>295</v>
      </c>
      <c r="DU11" s="5">
        <f t="shared" si="124"/>
        <v>9</v>
      </c>
      <c r="DV11" s="21">
        <f t="shared" si="125"/>
        <v>0</v>
      </c>
      <c r="DW11" s="6">
        <f t="shared" si="126"/>
        <v>1105.1799999999998</v>
      </c>
      <c r="DX11" s="5">
        <f t="shared" si="127"/>
        <v>33.717355932203382</v>
      </c>
      <c r="DY11" s="5">
        <f t="shared" si="128"/>
        <v>0</v>
      </c>
      <c r="DZ11" s="178">
        <f t="shared" si="129"/>
        <v>1091</v>
      </c>
      <c r="EA11" s="5">
        <f t="shared" si="130"/>
        <v>33.284745762711864</v>
      </c>
      <c r="EB11" s="6">
        <f t="shared" si="131"/>
        <v>1129</v>
      </c>
      <c r="EC11" s="5">
        <f t="shared" si="132"/>
        <v>34.44406779661017</v>
      </c>
      <c r="ED11" s="21">
        <f t="shared" si="133"/>
        <v>1.0348304307974336</v>
      </c>
      <c r="EE11" s="6">
        <f t="shared" si="134"/>
        <v>0</v>
      </c>
      <c r="EF11" s="5">
        <f t="shared" si="135"/>
        <v>0</v>
      </c>
      <c r="EG11" s="6">
        <f t="shared" si="136"/>
        <v>1025</v>
      </c>
      <c r="EH11" s="5">
        <f t="shared" si="137"/>
        <v>31.271186440677965</v>
      </c>
      <c r="EI11" s="6">
        <f t="shared" si="138"/>
        <v>58</v>
      </c>
      <c r="EJ11" s="5">
        <f t="shared" si="139"/>
        <v>1.7694915254237287</v>
      </c>
      <c r="EK11" s="5">
        <f t="shared" si="140"/>
        <v>9</v>
      </c>
      <c r="EL11" s="5">
        <f t="shared" si="141"/>
        <v>6.72</v>
      </c>
      <c r="EM11" s="394" t="s">
        <v>1002</v>
      </c>
      <c r="EN11" s="395" t="s">
        <v>1049</v>
      </c>
      <c r="EO11" s="395" t="s">
        <v>1050</v>
      </c>
      <c r="EP11" s="395">
        <v>27</v>
      </c>
      <c r="EQ11" s="395" t="s">
        <v>991</v>
      </c>
      <c r="ER11" s="395" t="s">
        <v>630</v>
      </c>
      <c r="ES11" s="395" t="s">
        <v>601</v>
      </c>
      <c r="ET11" s="395" t="s">
        <v>1051</v>
      </c>
      <c r="EU11" s="395" t="s">
        <v>1052</v>
      </c>
      <c r="EV11" s="396">
        <v>47664</v>
      </c>
      <c r="EW11" s="395">
        <v>2950</v>
      </c>
      <c r="EX11" s="395">
        <v>36</v>
      </c>
      <c r="EY11" s="395">
        <v>5</v>
      </c>
      <c r="EZ11" s="395">
        <v>0</v>
      </c>
      <c r="FA11" s="395">
        <v>23</v>
      </c>
      <c r="FB11" s="395">
        <v>4</v>
      </c>
      <c r="FC11" s="395">
        <v>6</v>
      </c>
      <c r="FD11" s="395">
        <v>0</v>
      </c>
      <c r="FE11" s="395">
        <v>9</v>
      </c>
      <c r="FF11" s="395">
        <v>13.9</v>
      </c>
      <c r="FG11" s="395" t="s">
        <v>798</v>
      </c>
      <c r="FH11" s="395">
        <v>41</v>
      </c>
      <c r="FI11" s="395">
        <v>248</v>
      </c>
      <c r="FJ11" s="395">
        <v>120</v>
      </c>
      <c r="FK11" s="395">
        <v>0</v>
      </c>
      <c r="FL11" s="395">
        <v>986</v>
      </c>
      <c r="FM11" s="395">
        <v>880</v>
      </c>
      <c r="FN11" s="395">
        <v>46</v>
      </c>
      <c r="FO11" s="395">
        <v>35</v>
      </c>
      <c r="FP11" s="395">
        <v>97</v>
      </c>
      <c r="FQ11" s="395">
        <v>55</v>
      </c>
      <c r="FR11" s="395">
        <v>45</v>
      </c>
      <c r="FS11" s="395">
        <v>14</v>
      </c>
      <c r="FT11" s="395">
        <v>4</v>
      </c>
      <c r="FU11" s="395">
        <v>3</v>
      </c>
      <c r="FV11" s="395">
        <v>0</v>
      </c>
      <c r="FW11" s="395">
        <v>1</v>
      </c>
      <c r="FX11" s="395">
        <v>24</v>
      </c>
      <c r="FY11" s="395">
        <v>0</v>
      </c>
      <c r="FZ11" s="395">
        <v>3</v>
      </c>
      <c r="GA11" s="395">
        <v>68</v>
      </c>
      <c r="GB11" s="395">
        <v>2.1</v>
      </c>
      <c r="GC11" s="395">
        <v>0</v>
      </c>
      <c r="GD11" s="395">
        <v>6</v>
      </c>
      <c r="GE11" s="395">
        <v>4</v>
      </c>
      <c r="GF11" s="395" t="s">
        <v>1053</v>
      </c>
      <c r="GG11" s="397">
        <v>7.29</v>
      </c>
      <c r="GH11" s="399">
        <v>12.7</v>
      </c>
      <c r="GI11" s="399" t="s">
        <v>982</v>
      </c>
      <c r="GJ11" s="399">
        <v>6.72</v>
      </c>
    </row>
    <row r="12" spans="1:192" ht="24.95" customHeight="1" x14ac:dyDescent="0.25"/>
    <row r="13" spans="1:192" ht="24.95" customHeight="1" x14ac:dyDescent="0.25"/>
    <row r="14" spans="1:192" ht="24.95" customHeight="1" x14ac:dyDescent="0.25"/>
    <row r="15" spans="1:192" ht="24.95" customHeight="1" x14ac:dyDescent="0.25"/>
    <row r="16" spans="1:192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GJ1" xr:uid="{00000000-0009-0000-0000-000006000000}">
    <sortState xmlns:xlrd2="http://schemas.microsoft.com/office/spreadsheetml/2017/richdata2" ref="B2:GJ11">
      <sortCondition ref="B1"/>
    </sortState>
  </autoFilter>
  <phoneticPr fontId="53" type="noConversion"/>
  <conditionalFormatting sqref="BD1:BD1048576">
    <cfRule type="iconSet" priority="29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9">
      <colorScale>
        <cfvo type="min"/>
        <cfvo type="max"/>
        <color rgb="FFFFEF9C"/>
        <color rgb="FF63BE7B"/>
      </colorScale>
    </cfRule>
  </conditionalFormatting>
  <conditionalFormatting sqref="BA1:BC1048576">
    <cfRule type="colorScale" priority="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F1048576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F1048576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J1:DJ1048576"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1:CG1048576">
    <cfRule type="iconSet" priority="3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5">
      <colorScale>
        <cfvo type="num" val="-1.0000000000000001E-5"/>
        <cfvo type="num" val="0"/>
        <cfvo type="max"/>
        <color rgb="FFF8696B"/>
        <color theme="7" tint="0.59999389629810485"/>
        <color rgb="FF00B0F0"/>
      </colorScale>
    </cfRule>
  </conditionalFormatting>
  <conditionalFormatting sqref="AE1:AE1048576">
    <cfRule type="colorScale" priority="530">
      <colorScale>
        <cfvo type="min"/>
        <cfvo type="max"/>
        <color rgb="FFFFEF9C"/>
        <color rgb="FF63BE7B"/>
      </colorScale>
    </cfRule>
    <cfRule type="colorScale" priority="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1:DY1048576">
    <cfRule type="colorScale" priority="7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C1048576">
    <cfRule type="colorScale" priority="7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X2:DX1048576">
    <cfRule type="iconSet" priority="32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048576">
    <cfRule type="colorScale" priority="526">
      <colorScale>
        <cfvo type="min"/>
        <cfvo type="max"/>
        <color rgb="FFFFEF9C"/>
        <color rgb="FF63BE7B"/>
      </colorScale>
    </cfRule>
  </conditionalFormatting>
  <conditionalFormatting sqref="BC1:BC1048576">
    <cfRule type="iconSet" priority="3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5">
      <colorScale>
        <cfvo type="min"/>
        <cfvo type="max"/>
        <color rgb="FFFFEF9C"/>
        <color rgb="FF63BE7B"/>
      </colorScale>
    </cfRule>
    <cfRule type="colorScale" priority="6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30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:EG1">
    <cfRule type="colorScale" priority="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:EG1048576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iconSet" priority="3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F1:CF1048576">
    <cfRule type="iconSet" priority="31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46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DI1:DI1048576"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3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621">
      <colorScale>
        <cfvo type="min"/>
        <cfvo type="max"/>
        <color rgb="FFFFEF9C"/>
        <color rgb="FF63BE7B"/>
      </colorScale>
    </cfRule>
  </conditionalFormatting>
  <conditionalFormatting sqref="AZ1:AZ1048576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colorScale" priority="529">
      <colorScale>
        <cfvo type="min"/>
        <cfvo type="max"/>
        <color rgb="FFFFEF9C"/>
        <color rgb="FF63BE7B"/>
      </colorScale>
    </cfRule>
  </conditionalFormatting>
  <conditionalFormatting sqref="BX1:BX1048576">
    <cfRule type="iconSet" priority="32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Y1:BZ1048576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iconSet" priority="32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Z1:BZ1048576">
    <cfRule type="iconSet" priority="3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94">
      <colorScale>
        <cfvo type="num" val="-1E-4"/>
        <cfvo type="num" val="0"/>
        <cfvo type="max"/>
        <color rgb="FFF8696B"/>
        <color rgb="FFFFEB84"/>
        <color rgb="FF63BE7B"/>
      </colorScale>
    </cfRule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J1048576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:CK1048576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H1048576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:CI1048576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:CJ1048576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:CL1048576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{14AAE41A-7AD0-46BC-9D4A-95F9B0EC17AA}</x14:id>
        </ext>
      </extLst>
    </cfRule>
    <cfRule type="colorScale" priority="447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1:CH1048576">
    <cfRule type="dataBar" priority="3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{E9A028F3-894B-47D5-AE28-79455BFA7C1A}</x14:id>
        </ext>
      </extLst>
    </cfRule>
    <cfRule type="colorScale" priority="450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1:CI1048576">
    <cfRule type="dataBar" priority="3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{778B5564-DE9B-4B3D-937F-581F15378BA9}</x14:id>
        </ext>
      </extLst>
    </cfRule>
    <cfRule type="colorScale" priority="451">
      <colorScale>
        <cfvo type="min"/>
        <cfvo type="percentile" val="50"/>
        <cfvo type="max"/>
        <color rgb="FFF8696B"/>
        <color theme="4" tint="0.79998168889431442"/>
        <color rgb="FF00B0F0"/>
      </colorScale>
    </cfRule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1:CJ1048576">
    <cfRule type="dataBar" priority="3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{556CE295-D6F9-4D2A-844F-6E0855EB24BD}</x14:id>
        </ext>
      </extLst>
    </cfRule>
    <cfRule type="colorScale" priority="45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K1:CK1048576">
    <cfRule type="dataBar" priority="3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{3F530B19-D044-4B1A-80D1-C16106E96D32}</x14:id>
        </ext>
      </extLst>
    </cfRule>
    <cfRule type="colorScale" priority="449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L1:CL1048576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{F0FE0B45-50CB-4CCE-B835-5A07810E6A85}</x14:id>
        </ext>
      </extLst>
    </cfRule>
    <cfRule type="colorScale" priority="448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N1:CN1048576">
    <cfRule type="dataBar" priority="3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{782CC29C-0A36-4764-A4A6-F6CC29A5E01D}</x14:id>
        </ext>
      </extLst>
    </cfRule>
    <cfRule type="colorScale" priority="44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EH1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H1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H1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:EG1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:EE1048576">
    <cfRule type="iconSet" priority="3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F1:EF1048576">
    <cfRule type="iconSet" priority="34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:EG1048576">
    <cfRule type="iconSet" priority="32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048576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2:DW1048576">
    <cfRule type="iconSet" priority="33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:DG1048576"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354">
      <colorScale>
        <cfvo type="num" val="0"/>
        <cfvo type="num" val="1.7"/>
        <cfvo type="num" val="1.83"/>
        <color rgb="FFF8696B"/>
        <color rgb="FFFFEB84"/>
        <color rgb="FF63BE7B"/>
      </colorScale>
    </cfRule>
  </conditionalFormatting>
  <conditionalFormatting sqref="CS1:CS1048576">
    <cfRule type="iconSet" priority="30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X1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X1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X1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">
    <cfRule type="iconSet" priority="311">
      <iconSet iconSet="4Arrows">
        <cfvo type="percent" val="0"/>
        <cfvo type="percent" val="25"/>
        <cfvo type="percent" val="50"/>
        <cfvo type="percent" val="75"/>
      </iconSet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X1">
    <cfRule type="iconSet" priority="31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iconSet" priority="30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04">
      <colorScale>
        <cfvo type="min"/>
        <cfvo type="max"/>
        <color rgb="FFFCFCFF"/>
        <color rgb="FFF8696B"/>
      </colorScale>
    </cfRule>
  </conditionalFormatting>
  <conditionalFormatting sqref="BE1:BE1048576">
    <cfRule type="colorScale" priority="298">
      <colorScale>
        <cfvo type="min"/>
        <cfvo type="max"/>
        <color rgb="FFFCFCFF"/>
        <color rgb="FFF8696B"/>
      </colorScale>
    </cfRule>
  </conditionalFormatting>
  <conditionalFormatting sqref="EH1:EH1048576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K1:EK1048576">
    <cfRule type="iconSet" priority="27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1:EI1048576">
    <cfRule type="iconSet" priority="274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6">
      <colorScale>
        <cfvo type="min"/>
        <cfvo type="max"/>
        <color rgb="FFFCFCFF"/>
        <color rgb="FFF8696B"/>
      </colorScale>
    </cfRule>
  </conditionalFormatting>
  <conditionalFormatting sqref="EJ1:EJ1048576">
    <cfRule type="iconSet" priority="27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275">
      <colorScale>
        <cfvo type="min"/>
        <cfvo type="max"/>
        <color rgb="FFFCFCFF"/>
        <color rgb="FFF8696B"/>
      </colorScale>
    </cfRule>
  </conditionalFormatting>
  <conditionalFormatting sqref="DK1:DK1048576">
    <cfRule type="iconSet" priority="2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L1:DL1048576">
    <cfRule type="colorScale" priority="248">
      <colorScale>
        <cfvo type="min"/>
        <cfvo type="percentile" val="50"/>
        <cfvo type="max"/>
        <color rgb="FFF8696B"/>
        <color rgb="FFD9E1F2"/>
        <color rgb="FF00B0F0"/>
      </colorScale>
    </cfRule>
    <cfRule type="iconSet" priority="265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X1:X1048576">
    <cfRule type="iconSet" priority="5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048576">
    <cfRule type="iconSet" priority="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iconSet" priority="12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048576">
    <cfRule type="iconSet" priority="249">
      <iconSet iconSet="3ArrowsGray">
        <cfvo type="percent" val="0"/>
        <cfvo type="percent" val="33"/>
        <cfvo type="percent" val="67"/>
      </iconSet>
    </cfRule>
    <cfRule type="colorScale" priority="257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V1:V1048576">
    <cfRule type="iconSet" priority="254">
      <iconSet iconSet="3ArrowsGray" reverse="1">
        <cfvo type="percent" val="0"/>
        <cfvo type="percent" val="33"/>
        <cfvo type="percent" val="67"/>
      </iconSet>
    </cfRule>
    <cfRule type="colorScale" priority="256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</conditionalFormatting>
  <conditionalFormatting sqref="W1:W1048576">
    <cfRule type="colorScale" priority="252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</conditionalFormatting>
  <conditionalFormatting sqref="N1:N1048576">
    <cfRule type="iconSet" priority="24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44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O1:O1048576">
    <cfRule type="dataBar" priority="2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{4710D6D0-D2CC-45C2-B07A-568AC19364E2}</x14:id>
        </ext>
      </extLst>
    </cfRule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iconSet" priority="23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224">
      <iconSet>
        <cfvo type="percent" val="0"/>
        <cfvo type="percent" val="33"/>
        <cfvo type="percent" val="67"/>
      </iconSet>
    </cfRule>
  </conditionalFormatting>
  <conditionalFormatting sqref="I1:I1048576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ntainsText" dxfId="1" priority="205" operator="containsText" text="Desconhecido">
      <formula>NOT(ISERROR(SEARCH("Desconhecido",J1)))</formula>
    </cfRule>
    <cfRule type="containsText" dxfId="0" priority="206" operator="containsText" text="Não está à venda">
      <formula>NOT(ISERROR(SEARCH("Não está à venda",J1)))</formula>
    </cfRule>
  </conditionalFormatting>
  <conditionalFormatting sqref="DB1:DB1048576">
    <cfRule type="dataBar" priority="195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{6DDC7AAF-373F-4AAB-A24C-0B2D4B0185A5}</x14:id>
        </ext>
      </extLst>
    </cfRule>
    <cfRule type="iconSet" priority="203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M1:DM1048576">
    <cfRule type="colorScale" priority="199">
      <colorScale>
        <cfvo type="min"/>
        <cfvo type="percentile" val="50"/>
        <cfvo type="max"/>
        <color rgb="FFF8696B"/>
        <color rgb="FFD9E1F2"/>
        <color rgb="FF00B0F0"/>
      </colorScale>
    </cfRule>
  </conditionalFormatting>
  <conditionalFormatting sqref="BS1:BS1048576">
    <cfRule type="iconSet" priority="185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7:BO1048576 BO1:BO11">
    <cfRule type="iconSet" priority="16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16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L1:EL1048576">
    <cfRule type="iconSet" priority="163">
      <iconSet iconSet="3Arrows">
        <cfvo type="percent" val="0"/>
        <cfvo type="num" val="6.7"/>
        <cfvo type="num" val="7"/>
      </iconSet>
    </cfRule>
    <cfRule type="colorScale" priority="164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DP1:DP1048576">
    <cfRule type="colorScale" priority="141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Q1:DQ1048576">
    <cfRule type="colorScale" priority="139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DR1:DR1048576">
    <cfRule type="iconSet" priority="1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1:DS1048576">
    <cfRule type="iconSet" priority="13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048576">
    <cfRule type="iconSet" priority="133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36">
      <colorScale>
        <cfvo type="min"/>
        <cfvo type="max"/>
        <color rgb="FFFCFCFF"/>
        <color rgb="FFF8696B"/>
      </colorScale>
    </cfRule>
  </conditionalFormatting>
  <conditionalFormatting sqref="DU1:DU1048576">
    <cfRule type="iconSet" priority="134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35">
      <colorScale>
        <cfvo type="min"/>
        <cfvo type="max"/>
        <color rgb="FFFCFCFF"/>
        <color rgb="FFF8696B"/>
      </colorScale>
    </cfRule>
  </conditionalFormatting>
  <conditionalFormatting sqref="DV1:DV1048576">
    <cfRule type="iconSet" priority="12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{C44FA3A8-7BE4-4DC0-913B-0A46DCF1586D}</x14:id>
        </ext>
      </extLst>
    </cfRule>
    <cfRule type="colorScale" priority="127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CQ1:CQ1048576">
    <cfRule type="iconSet" priority="1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1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iconSet" priority="11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1:BV104857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dataBar" priority="101">
      <dataBar>
        <cfvo type="min"/>
        <cfvo type="max"/>
        <color rgb="FF61BFF9"/>
      </dataBar>
      <extLst>
        <ext xmlns:x14="http://schemas.microsoft.com/office/spreadsheetml/2009/9/main" uri="{B025F937-C7B1-47D3-B67F-A62EFF666E3E}">
          <x14:id>{4A44C164-1EBA-4266-9D88-7AD3826FCDB2}</x14:id>
        </ext>
      </extLst>
    </cfRule>
    <cfRule type="iconSet" priority="11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1">
      <colorScale>
        <cfvo type="min"/>
        <cfvo type="percentile" val="50"/>
        <cfvo type="max"/>
        <color rgb="FFFF5D74"/>
        <color rgb="FFA3D9FB"/>
        <color rgb="FF61BFF9"/>
      </colorScale>
    </cfRule>
  </conditionalFormatting>
  <conditionalFormatting sqref="BT1:BT1048576">
    <cfRule type="iconSet" priority="10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1:BJ1048576">
    <cfRule type="iconSet" priority="10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7">
      <colorScale>
        <cfvo type="min"/>
        <cfvo type="max"/>
        <color rgb="FFFFEF9C"/>
        <color rgb="FF63BE7B"/>
      </colorScale>
    </cfRule>
  </conditionalFormatting>
  <conditionalFormatting sqref="BK1:BK1048576">
    <cfRule type="iconSet" priority="1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6">
      <colorScale>
        <cfvo type="min"/>
        <cfvo type="max"/>
        <color rgb="FFFFEF9C"/>
        <color rgb="FF63BE7B"/>
      </colorScale>
    </cfRule>
  </conditionalFormatting>
  <conditionalFormatting sqref="BN17:BN1048576 BN1:BN11">
    <cfRule type="iconSet" priority="10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04857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:CE1048576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:CT1048576">
    <cfRule type="colorScale" priority="97">
      <colorScale>
        <cfvo type="num" val="-1"/>
        <cfvo type="num" val="0"/>
        <cfvo type="max"/>
        <color rgb="FFF8696B"/>
        <color rgb="FFFFEB84"/>
        <color rgb="FF63BE7B"/>
      </colorScale>
    </cfRule>
  </conditionalFormatting>
  <conditionalFormatting sqref="CU1:CU1048576">
    <cfRule type="iconSet" priority="6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V1:CV1048576">
    <cfRule type="iconSet" priority="6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W1:CW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X1:CX1048576">
    <cfRule type="iconSet" priority="6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Y1:CY1048576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Z1:DZ1048576">
    <cfRule type="iconSet" priority="7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theme="4" tint="0.59999389629810485"/>
        <color theme="4" tint="-0.249977111117893"/>
      </colorScale>
    </cfRule>
  </conditionalFormatting>
  <conditionalFormatting sqref="EA1:EA1048576">
    <cfRule type="colorScale" priority="68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7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B1:EB1048576">
    <cfRule type="colorScale" priority="67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7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C1:EC1048576">
    <cfRule type="colorScale" priority="66">
      <colorScale>
        <cfvo type="min"/>
        <cfvo type="percentile" val="50"/>
        <cfvo type="max"/>
        <color rgb="FFF8696B"/>
        <color rgb="FF9BC2E6"/>
        <color rgb="FF2F75B5"/>
      </colorScale>
    </cfRule>
    <cfRule type="iconSet" priority="70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D1:ED1048576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iconSet" priority="69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P1:CP1048576">
    <cfRule type="dataBar" priority="58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{816EFB8F-36AA-4329-9761-19D02431D6C4}</x14:id>
        </ext>
      </extLst>
    </cfRule>
    <cfRule type="colorScale" priority="60">
      <colorScale>
        <cfvo type="min"/>
        <cfvo type="percentile" val="50"/>
        <cfvo type="max"/>
        <color rgb="FFF8696B"/>
        <color rgb="FFDDEBF7"/>
        <color rgb="FF00B0F0"/>
      </colorScale>
    </cfRule>
  </conditionalFormatting>
  <conditionalFormatting sqref="AH1:AH10485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B1:CB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1:CC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AV104857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{D7EA6F09-0016-4403-ACAB-D164071280E4}</x14:id>
        </ext>
      </extLst>
    </cfRule>
  </conditionalFormatting>
  <conditionalFormatting sqref="AW1:AW1048576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{EA25C936-B00C-4BC5-AE42-A2C1B746CC5A}</x14:id>
        </ext>
      </extLst>
    </cfRule>
  </conditionalFormatting>
  <conditionalFormatting sqref="AX1:AX1048576"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{B90A5FD0-CFBD-44D2-847A-FDC9BCE3B71F}</x14:id>
        </ext>
      </extLst>
    </cfRule>
  </conditionalFormatting>
  <conditionalFormatting sqref="AY1:AY1048576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{B844C464-1F5F-4CE8-8601-2F0F22BD163F}</x14:id>
        </ext>
      </extLst>
    </cfRule>
  </conditionalFormatting>
  <conditionalFormatting sqref="BX1:BX104857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dataBar" priority="3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{72C25462-B690-43DB-A390-AC4CACF28AB4}</x14:id>
        </ext>
      </extLst>
    </cfRule>
  </conditionalFormatting>
  <conditionalFormatting sqref="AP1:AP1048576">
    <cfRule type="dataBar" priority="3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{13C71701-FFB7-41EE-83DD-30C7626D9805}</x14:id>
        </ext>
      </extLst>
    </cfRule>
  </conditionalFormatting>
  <conditionalFormatting sqref="AT1:AT1048576">
    <cfRule type="dataBar" priority="31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{5E4BCAB9-E13A-4EDF-94C8-3B5206DA0A22}</x14:id>
        </ext>
      </extLst>
    </cfRule>
  </conditionalFormatting>
  <conditionalFormatting sqref="AU1:AU1048576">
    <cfRule type="dataBar" priority="29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{24F73CF6-4949-4EB7-8DCA-6664CA53232B}</x14:id>
        </ext>
      </extLst>
    </cfRule>
  </conditionalFormatting>
  <conditionalFormatting sqref="AQ1:AQ1048576">
    <cfRule type="dataBar" priority="2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{E6138265-35ED-480E-80B4-CCE8A529E598}</x14:id>
        </ext>
      </extLst>
    </cfRule>
  </conditionalFormatting>
  <conditionalFormatting sqref="AS1:AS1048576">
    <cfRule type="dataBar" priority="24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{BEBD870E-F763-4171-9009-1EAFB3706158}</x14:id>
        </ext>
      </extLst>
    </cfRule>
  </conditionalFormatting>
  <conditionalFormatting sqref="BH1:BH1048576">
    <cfRule type="iconSet" priority="1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{4F91B05B-FBB7-4DD1-8837-9F473E2133C5}</x14:id>
        </ext>
      </extLst>
    </cfRule>
  </conditionalFormatting>
  <conditionalFormatting sqref="BI1:BI1048576">
    <cfRule type="iconSet" priority="16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{90A28873-503D-4A48-B2E7-4282FAC63867}</x14:id>
        </ext>
      </extLst>
    </cfRule>
  </conditionalFormatting>
  <conditionalFormatting sqref="DN1:DN1048576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{A17F4A20-7385-4408-ABFD-3EDF35AA8F29}</x14:id>
        </ext>
      </extLst>
    </cfRule>
  </conditionalFormatting>
  <conditionalFormatting sqref="DO1:DO104857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{ACFFD22C-288A-4858-A438-F69172D6B167}</x14:id>
        </ext>
      </extLst>
    </cfRule>
  </conditionalFormatting>
  <conditionalFormatting sqref="CZ1:CZ1048576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{507416C6-821C-4CD7-A6F1-99620BFA8651}</x14:id>
        </ext>
      </extLst>
    </cfRule>
  </conditionalFormatting>
  <conditionalFormatting sqref="DA1:DA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{8622CB33-9D99-4192-AA63-EEACCA02AEE5}</x14:id>
        </ext>
      </extLst>
    </cfRule>
  </conditionalFormatting>
  <conditionalFormatting sqref="AA1:AA1048576">
    <cfRule type="dataBar" priority="15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{532DD576-1F65-4F19-8023-5342688CCB82}</x14:id>
        </ext>
      </extLst>
    </cfRule>
  </conditionalFormatting>
  <conditionalFormatting sqref="AB1:AB1048576">
    <cfRule type="dataBar" priority="14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{6BEFC0E4-45ED-4A6D-AF76-21FB9B7119C4}</x14:id>
        </ext>
      </extLst>
    </cfRule>
  </conditionalFormatting>
  <conditionalFormatting sqref="AC1:AC1048576">
    <cfRule type="dataBar" priority="13">
      <dataBar>
        <cfvo type="min"/>
        <cfvo type="max"/>
        <color rgb="FF305484"/>
      </dataBar>
      <extLst>
        <ext xmlns:x14="http://schemas.microsoft.com/office/spreadsheetml/2009/9/main" uri="{B025F937-C7B1-47D3-B67F-A62EFF666E3E}">
          <x14:id>{281ACDAE-2042-4B63-8E16-B3B1B2BEF6AF}</x14:id>
        </ext>
      </extLst>
    </cfRule>
  </conditionalFormatting>
  <conditionalFormatting sqref="AL1:AL1048576">
    <cfRule type="dataBar" priority="12">
      <dataBar>
        <cfvo type="min"/>
        <cfvo type="max"/>
        <color rgb="FF205382"/>
      </dataBar>
      <extLst>
        <ext xmlns:x14="http://schemas.microsoft.com/office/spreadsheetml/2009/9/main" uri="{B025F937-C7B1-47D3-B67F-A62EFF666E3E}">
          <x14:id>{A3C7505B-BFC0-497E-B31C-19A5051F1211}</x14:id>
        </ext>
      </extLst>
    </cfRule>
  </conditionalFormatting>
  <conditionalFormatting sqref="AM1:AM1048576">
    <cfRule type="dataBar" priority="11">
      <dataBar>
        <cfvo type="min"/>
        <cfvo type="max"/>
        <color rgb="FFAC7300"/>
      </dataBar>
      <extLst>
        <ext xmlns:x14="http://schemas.microsoft.com/office/spreadsheetml/2009/9/main" uri="{B025F937-C7B1-47D3-B67F-A62EFF666E3E}">
          <x14:id>{E2722F7E-8137-407D-A174-7933BC9D560F}</x14:id>
        </ext>
      </extLst>
    </cfRule>
  </conditionalFormatting>
  <conditionalFormatting sqref="AN1:AN1048576">
    <cfRule type="dataBar" priority="10">
      <dataBar>
        <cfvo type="min"/>
        <cfvo type="max"/>
        <color rgb="FFAC7300"/>
      </dataBar>
      <extLst>
        <ext xmlns:x14="http://schemas.microsoft.com/office/spreadsheetml/2009/9/main" uri="{B025F937-C7B1-47D3-B67F-A62EFF666E3E}">
          <x14:id>{E4AEB1CB-CCF8-46B3-9C06-1190F532C781}</x14:id>
        </ext>
      </extLst>
    </cfRule>
  </conditionalFormatting>
  <conditionalFormatting sqref="BL1:BL1048576">
    <cfRule type="iconSet" priority="7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8">
      <colorScale>
        <cfvo type="min"/>
        <cfvo type="max"/>
        <color rgb="FFFDD7D8"/>
        <color rgb="FFF8696B"/>
      </colorScale>
    </cfRule>
  </conditionalFormatting>
  <conditionalFormatting sqref="BN12:BQ16 BM1:BM1048576">
    <cfRule type="iconSet" priority="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">
      <colorScale>
        <cfvo type="min"/>
        <cfvo type="max"/>
        <color rgb="FFFDD7D8"/>
        <color rgb="FFF8696B"/>
      </colorScale>
    </cfRule>
  </conditionalFormatting>
  <conditionalFormatting sqref="BP17:BP1048576 BP1:BP11">
    <cfRule type="iconSet" priority="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7:BQ1048576 BQ1:BQ11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G12:DH1048576 DG1:DH1 DG2:DG11">
    <cfRule type="colorScale" priority="26370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J12:DJ1048576 DJ1">
    <cfRule type="colorScale" priority="26370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2:DW1048576">
    <cfRule type="colorScale" priority="26370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2:DH1048576 DH1">
    <cfRule type="colorScale" priority="26370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2:DE11">
    <cfRule type="colorScale" priority="26370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2:DF11">
    <cfRule type="colorScale" priority="26370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1">
    <cfRule type="colorScale" priority="2637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11">
    <cfRule type="colorScale" priority="2637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2:DJ11">
    <cfRule type="colorScale" priority="26370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X2:DX11">
    <cfRule type="colorScale" priority="2637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2:DX11">
    <cfRule type="colorScale" priority="2637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J11">
    <cfRule type="colorScale" priority="26370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:CJ11">
    <cfRule type="colorScale" priority="2637061">
      <colorScale>
        <cfvo type="min"/>
        <cfvo type="max"/>
        <color rgb="FFFFEF9C"/>
        <color rgb="FF63BE7B"/>
      </colorScale>
    </cfRule>
  </conditionalFormatting>
  <conditionalFormatting sqref="DI2:DI11">
    <cfRule type="colorScale" priority="26370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2:DW11">
    <cfRule type="colorScale" priority="2637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2:DW11">
    <cfRule type="colorScale" priority="26370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2:DH11">
    <cfRule type="colorScale" priority="26370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:W11">
    <cfRule type="iconSet" priority="2637066">
      <iconSet iconSet="3ArrowsGray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AAE41A-7AD0-46BC-9D4A-95F9B0EC17A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CM1:CM1048576</xm:sqref>
        </x14:conditionalFormatting>
        <x14:conditionalFormatting xmlns:xm="http://schemas.microsoft.com/office/excel/2006/main">
          <x14:cfRule type="dataBar" id="{E9A028F3-894B-47D5-AE28-79455BFA7C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CH1:CH1048576</xm:sqref>
        </x14:conditionalFormatting>
        <x14:conditionalFormatting xmlns:xm="http://schemas.microsoft.com/office/excel/2006/main">
          <x14:cfRule type="dataBar" id="{778B5564-DE9B-4B3D-937F-581F15378B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CI1:CI1048576</xm:sqref>
        </x14:conditionalFormatting>
        <x14:conditionalFormatting xmlns:xm="http://schemas.microsoft.com/office/excel/2006/main">
          <x14:cfRule type="dataBar" id="{556CE295-D6F9-4D2A-844F-6E0855EB24B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3F530B19-D044-4B1A-80D1-C16106E96D3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CK1:CK1048576</xm:sqref>
        </x14:conditionalFormatting>
        <x14:conditionalFormatting xmlns:xm="http://schemas.microsoft.com/office/excel/2006/main">
          <x14:cfRule type="dataBar" id="{F0FE0B45-50CB-4CCE-B835-5A07810E6A8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CL1:CL1048576</xm:sqref>
        </x14:conditionalFormatting>
        <x14:conditionalFormatting xmlns:xm="http://schemas.microsoft.com/office/excel/2006/main">
          <x14:cfRule type="dataBar" id="{782CC29C-0A36-4764-A4A6-F6CC29A5E0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CN1:CN1048576</xm:sqref>
        </x14:conditionalFormatting>
        <x14:conditionalFormatting xmlns:xm="http://schemas.microsoft.com/office/excel/2006/main">
          <x14:cfRule type="dataBar" id="{4710D6D0-D2CC-45C2-B07A-568AC19364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6DDC7AAF-373F-4AAB-A24C-0B2D4B018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DB1:DB1048576</xm:sqref>
        </x14:conditionalFormatting>
        <x14:conditionalFormatting xmlns:xm="http://schemas.microsoft.com/office/excel/2006/main">
          <x14:cfRule type="dataBar" id="{C44FA3A8-7BE4-4DC0-913B-0A46DCF158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CO1:CO1048576</xm:sqref>
        </x14:conditionalFormatting>
        <x14:conditionalFormatting xmlns:xm="http://schemas.microsoft.com/office/excel/2006/main">
          <x14:cfRule type="dataBar" id="{4A44C164-1EBA-4266-9D88-7AD3826FCDB2}">
            <x14:dataBar minLength="0" maxLength="100" border="1" gradient="0">
              <x14:cfvo type="autoMin"/>
              <x14:cfvo type="autoMax"/>
              <x14:borderColor theme="0" tint="0.79998168889431442"/>
              <x14:negativeFillColor rgb="FFFF0000"/>
              <x14:axisColor rgb="FF000000"/>
            </x14:dataBar>
          </x14:cfRule>
          <xm:sqref>BW1:BW1048576</xm:sqref>
        </x14:conditionalFormatting>
        <x14:conditionalFormatting xmlns:xm="http://schemas.microsoft.com/office/excel/2006/main">
          <x14:cfRule type="dataBar" id="{816EFB8F-36AA-4329-9761-19D02431D6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CP1:CP1048576</xm:sqref>
        </x14:conditionalFormatting>
        <x14:conditionalFormatting xmlns:xm="http://schemas.microsoft.com/office/excel/2006/main">
          <x14:cfRule type="dataBar" id="{D7EA6F09-0016-4403-ACAB-D164071280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AV1:AV1048576</xm:sqref>
        </x14:conditionalFormatting>
        <x14:conditionalFormatting xmlns:xm="http://schemas.microsoft.com/office/excel/2006/main">
          <x14:cfRule type="dataBar" id="{EA25C936-B00C-4BC5-AE42-A2C1B746CC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AW1:AW1048576</xm:sqref>
        </x14:conditionalFormatting>
        <x14:conditionalFormatting xmlns:xm="http://schemas.microsoft.com/office/excel/2006/main">
          <x14:cfRule type="dataBar" id="{B90A5FD0-CFBD-44D2-847A-FDC9BCE3B7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AX1:AX1048576</xm:sqref>
        </x14:conditionalFormatting>
        <x14:conditionalFormatting xmlns:xm="http://schemas.microsoft.com/office/excel/2006/main">
          <x14:cfRule type="dataBar" id="{B844C464-1F5F-4CE8-8601-2F0F22BD16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72C25462-B690-43DB-A390-AC4CACF28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AR1:AR1048576</xm:sqref>
        </x14:conditionalFormatting>
        <x14:conditionalFormatting xmlns:xm="http://schemas.microsoft.com/office/excel/2006/main">
          <x14:cfRule type="dataBar" id="{13C71701-FFB7-41EE-83DD-30C7626D98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AP1:AP1048576</xm:sqref>
        </x14:conditionalFormatting>
        <x14:conditionalFormatting xmlns:xm="http://schemas.microsoft.com/office/excel/2006/main">
          <x14:cfRule type="dataBar" id="{5E4BCAB9-E13A-4EDF-94C8-3B5206DA0A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AT1:AT1048576</xm:sqref>
        </x14:conditionalFormatting>
        <x14:conditionalFormatting xmlns:xm="http://schemas.microsoft.com/office/excel/2006/main">
          <x14:cfRule type="dataBar" id="{24F73CF6-4949-4EB7-8DCA-6664CA5323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AU1:AU1048576</xm:sqref>
        </x14:conditionalFormatting>
        <x14:conditionalFormatting xmlns:xm="http://schemas.microsoft.com/office/excel/2006/main">
          <x14:cfRule type="dataBar" id="{E6138265-35ED-480E-80B4-CCE8A529E5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AQ1:AQ1048576</xm:sqref>
        </x14:conditionalFormatting>
        <x14:conditionalFormatting xmlns:xm="http://schemas.microsoft.com/office/excel/2006/main">
          <x14:cfRule type="dataBar" id="{BEBD870E-F763-4171-9009-1EAFB37061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AS1:AS1048576</xm:sqref>
        </x14:conditionalFormatting>
        <x14:conditionalFormatting xmlns:xm="http://schemas.microsoft.com/office/excel/2006/main">
          <x14:cfRule type="dataBar" id="{4F91B05B-FBB7-4DD1-8837-9F473E2133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BH1:BH1048576</xm:sqref>
        </x14:conditionalFormatting>
        <x14:conditionalFormatting xmlns:xm="http://schemas.microsoft.com/office/excel/2006/main">
          <x14:cfRule type="dataBar" id="{90A28873-503D-4A48-B2E7-4282FAC638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BI1:BI1048576</xm:sqref>
        </x14:conditionalFormatting>
        <x14:conditionalFormatting xmlns:xm="http://schemas.microsoft.com/office/excel/2006/main">
          <x14:cfRule type="dataBar" id="{A17F4A20-7385-4408-ABFD-3EDF35AA8F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DN1:DN1048576</xm:sqref>
        </x14:conditionalFormatting>
        <x14:conditionalFormatting xmlns:xm="http://schemas.microsoft.com/office/excel/2006/main">
          <x14:cfRule type="dataBar" id="{ACFFD22C-288A-4858-A438-F69172D6B1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DO1:DO1048576</xm:sqref>
        </x14:conditionalFormatting>
        <x14:conditionalFormatting xmlns:xm="http://schemas.microsoft.com/office/excel/2006/main">
          <x14:cfRule type="dataBar" id="{507416C6-821C-4CD7-A6F1-99620BFA86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CZ1:CZ1048576</xm:sqref>
        </x14:conditionalFormatting>
        <x14:conditionalFormatting xmlns:xm="http://schemas.microsoft.com/office/excel/2006/main">
          <x14:cfRule type="dataBar" id="{8622CB33-9D99-4192-AA63-EEACCA02AE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DA1:DA1048576</xm:sqref>
        </x14:conditionalFormatting>
        <x14:conditionalFormatting xmlns:xm="http://schemas.microsoft.com/office/excel/2006/main">
          <x14:cfRule type="dataBar" id="{532DD576-1F65-4F19-8023-5342688CCB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6BEFC0E4-45ED-4A6D-AF76-21FB9B7119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281ACDAE-2042-4B63-8E16-B3B1B2BEF6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A3C7505B-BFC0-497E-B31C-19A5051F121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AL1:AL1048576</xm:sqref>
        </x14:conditionalFormatting>
        <x14:conditionalFormatting xmlns:xm="http://schemas.microsoft.com/office/excel/2006/main">
          <x14:cfRule type="dataBar" id="{E2722F7E-8137-407D-A174-7933BC9D56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AM1:AM1048576</xm:sqref>
        </x14:conditionalFormatting>
        <x14:conditionalFormatting xmlns:xm="http://schemas.microsoft.com/office/excel/2006/main">
          <x14:cfRule type="dataBar" id="{E4AEB1CB-CCF8-46B3-9C06-1190F532C7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FFFF00"/>
  </sheetPr>
  <dimension ref="A1:DK204"/>
  <sheetViews>
    <sheetView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8.75" x14ac:dyDescent="0.3"/>
  <cols>
    <col min="1" max="1" width="25.7109375" customWidth="1"/>
    <col min="2" max="2" width="11" customWidth="1"/>
    <col min="3" max="3" width="16.28515625" customWidth="1"/>
    <col min="4" max="5" width="13.5703125" customWidth="1"/>
    <col min="6" max="16" width="18.7109375" customWidth="1"/>
    <col min="17" max="17" width="18.7109375" style="224" customWidth="1"/>
    <col min="18" max="54" width="18.7109375" customWidth="1"/>
    <col min="55" max="55" width="20.5703125" customWidth="1"/>
    <col min="56" max="62" width="18.7109375" customWidth="1"/>
    <col min="63" max="63" width="8.7109375" customWidth="1"/>
    <col min="64" max="67" width="11.7109375" customWidth="1"/>
    <col min="68" max="69" width="11.7109375" style="1" customWidth="1"/>
    <col min="70" max="70" width="11.7109375" style="223" customWidth="1"/>
    <col min="71" max="100" width="11.7109375" style="1" customWidth="1"/>
    <col min="101" max="101" width="2.5703125" customWidth="1"/>
  </cols>
  <sheetData>
    <row r="1" spans="1:115" ht="50.1" customHeight="1" thickBot="1" x14ac:dyDescent="0.3">
      <c r="A1" s="232" t="s">
        <v>20</v>
      </c>
      <c r="B1" s="232" t="s">
        <v>502</v>
      </c>
      <c r="C1" s="227" t="s">
        <v>519</v>
      </c>
      <c r="D1" s="227" t="s">
        <v>119</v>
      </c>
      <c r="E1" s="227" t="s">
        <v>518</v>
      </c>
      <c r="F1" s="260" t="s">
        <v>168</v>
      </c>
      <c r="G1" s="260" t="s">
        <v>517</v>
      </c>
      <c r="H1" s="363" t="s">
        <v>516</v>
      </c>
      <c r="I1" s="260" t="s">
        <v>515</v>
      </c>
      <c r="J1" s="261" t="s">
        <v>39</v>
      </c>
      <c r="K1" s="261" t="s">
        <v>523</v>
      </c>
      <c r="L1" s="260" t="s">
        <v>81</v>
      </c>
      <c r="M1" s="260" t="s">
        <v>27</v>
      </c>
      <c r="N1" s="260" t="s">
        <v>82</v>
      </c>
      <c r="O1" s="197" t="s">
        <v>423</v>
      </c>
      <c r="P1" s="197" t="s">
        <v>424</v>
      </c>
      <c r="Q1" s="259" t="s">
        <v>514</v>
      </c>
      <c r="R1" s="259" t="s">
        <v>513</v>
      </c>
      <c r="S1" s="22" t="s">
        <v>246</v>
      </c>
      <c r="T1" s="22" t="s">
        <v>247</v>
      </c>
      <c r="U1" s="4" t="s">
        <v>47</v>
      </c>
      <c r="V1" s="4" t="s">
        <v>138</v>
      </c>
      <c r="W1" s="4" t="s">
        <v>512</v>
      </c>
      <c r="X1" s="46" t="s">
        <v>332</v>
      </c>
      <c r="Y1" s="46" t="s">
        <v>333</v>
      </c>
      <c r="Z1" s="46" t="s">
        <v>467</v>
      </c>
      <c r="AA1" s="46" t="s">
        <v>637</v>
      </c>
      <c r="AB1" s="46" t="s">
        <v>352</v>
      </c>
      <c r="AC1" s="46" t="s">
        <v>511</v>
      </c>
      <c r="AD1" s="344" t="s">
        <v>421</v>
      </c>
      <c r="AE1" s="344" t="s">
        <v>510</v>
      </c>
      <c r="AF1" s="343" t="s">
        <v>509</v>
      </c>
      <c r="AG1" s="343" t="s">
        <v>508</v>
      </c>
      <c r="AH1" s="343" t="s">
        <v>507</v>
      </c>
      <c r="AI1" s="258" t="s">
        <v>22</v>
      </c>
      <c r="AJ1" s="258" t="s">
        <v>148</v>
      </c>
      <c r="AK1" s="258" t="s">
        <v>65</v>
      </c>
      <c r="AL1" s="258" t="s">
        <v>153</v>
      </c>
      <c r="AM1" s="258" t="s">
        <v>541</v>
      </c>
      <c r="AN1" s="258" t="s">
        <v>303</v>
      </c>
      <c r="AO1" s="257" t="s">
        <v>335</v>
      </c>
      <c r="AP1" s="257" t="s">
        <v>506</v>
      </c>
      <c r="AQ1" s="232" t="s">
        <v>336</v>
      </c>
      <c r="AR1" s="257" t="s">
        <v>495</v>
      </c>
      <c r="AS1" s="232" t="s">
        <v>104</v>
      </c>
      <c r="AT1" s="256" t="s">
        <v>180</v>
      </c>
      <c r="AU1" s="231" t="s">
        <v>505</v>
      </c>
      <c r="AV1" s="256" t="s">
        <v>110</v>
      </c>
      <c r="AW1" s="231" t="s">
        <v>504</v>
      </c>
      <c r="AX1" s="231" t="s">
        <v>503</v>
      </c>
      <c r="AY1" s="345" t="s">
        <v>69</v>
      </c>
      <c r="AZ1" s="345" t="s">
        <v>486</v>
      </c>
      <c r="BA1" s="100" t="s">
        <v>440</v>
      </c>
      <c r="BB1" s="100" t="s">
        <v>440</v>
      </c>
      <c r="BC1" s="100" t="s">
        <v>623</v>
      </c>
      <c r="BD1" s="266" t="s">
        <v>428</v>
      </c>
      <c r="BE1" s="238" t="s">
        <v>105</v>
      </c>
      <c r="BF1" s="255" t="s">
        <v>422</v>
      </c>
      <c r="BG1" s="254" t="s">
        <v>80</v>
      </c>
      <c r="BH1" s="232" t="s">
        <v>91</v>
      </c>
      <c r="BI1" s="232" t="s">
        <v>169</v>
      </c>
      <c r="BJ1" s="110" t="s">
        <v>25</v>
      </c>
      <c r="BK1" s="289" t="s">
        <v>14</v>
      </c>
      <c r="BL1" s="290" t="s">
        <v>629</v>
      </c>
      <c r="BM1" s="290" t="s">
        <v>20</v>
      </c>
      <c r="BN1" s="290" t="s">
        <v>1</v>
      </c>
      <c r="BO1" s="290" t="s">
        <v>29</v>
      </c>
      <c r="BP1" s="290" t="s">
        <v>40</v>
      </c>
      <c r="BQ1" s="290" t="s">
        <v>585</v>
      </c>
      <c r="BR1" s="290" t="s">
        <v>600</v>
      </c>
      <c r="BS1" s="290" t="s">
        <v>609</v>
      </c>
      <c r="BT1" s="290" t="s">
        <v>610</v>
      </c>
      <c r="BU1" s="290" t="s">
        <v>5</v>
      </c>
      <c r="BV1" s="290" t="s">
        <v>102</v>
      </c>
      <c r="BW1" s="290" t="s">
        <v>8</v>
      </c>
      <c r="BX1" s="290" t="s">
        <v>9</v>
      </c>
      <c r="BY1" s="290" t="s">
        <v>11</v>
      </c>
      <c r="BZ1" s="290" t="s">
        <v>17</v>
      </c>
      <c r="CA1" s="290" t="s">
        <v>7</v>
      </c>
      <c r="CB1" s="290" t="s">
        <v>164</v>
      </c>
      <c r="CC1" s="290" t="s">
        <v>177</v>
      </c>
      <c r="CD1" s="290" t="s">
        <v>4</v>
      </c>
      <c r="CE1" s="290" t="s">
        <v>606</v>
      </c>
      <c r="CF1" s="290" t="s">
        <v>92</v>
      </c>
      <c r="CG1" s="290" t="s">
        <v>93</v>
      </c>
      <c r="CH1" s="290" t="s">
        <v>550</v>
      </c>
      <c r="CI1" s="290" t="s">
        <v>551</v>
      </c>
      <c r="CJ1" s="290" t="s">
        <v>48</v>
      </c>
      <c r="CK1" s="290" t="s">
        <v>603</v>
      </c>
      <c r="CL1" s="290" t="s">
        <v>604</v>
      </c>
      <c r="CM1" s="290" t="s">
        <v>587</v>
      </c>
      <c r="CN1" s="290" t="s">
        <v>18</v>
      </c>
      <c r="CO1" s="290" t="s">
        <v>10</v>
      </c>
      <c r="CP1" s="290" t="s">
        <v>15</v>
      </c>
      <c r="CQ1" s="290" t="s">
        <v>16</v>
      </c>
      <c r="CR1" s="290" t="s">
        <v>605</v>
      </c>
      <c r="CS1" s="290" t="s">
        <v>187</v>
      </c>
      <c r="CT1" s="290" t="s">
        <v>188</v>
      </c>
      <c r="CU1" s="290" t="s">
        <v>103</v>
      </c>
      <c r="CV1" s="291" t="s">
        <v>595</v>
      </c>
      <c r="CW1" s="225"/>
      <c r="DE1" s="1"/>
      <c r="DG1" s="1"/>
    </row>
    <row r="2" spans="1:115" ht="30" customHeight="1" thickBot="1" x14ac:dyDescent="0.3">
      <c r="A2" s="253" t="str">
        <f t="shared" ref="A2:A12" si="0">IF(BM2=0,"Sem Jogador Adicionado",BM2)</f>
        <v>Sem Jogador Adicionado</v>
      </c>
      <c r="B2" s="252" t="str">
        <f>IF(BL2=0,"VAZIO",
SUBSTITUTE(
SUBSTITUTE(
SUBSTITUTE(
SUBSTITUTE(
SUBSTITUTE(
SUBSTITUTE(
SUBSTITUTE(
SUBSTITUTE(
SUBSTITUTE(BL2,"GR","GOL"),
"D (D)","LD"),
"D (E)","LE"),
"D (C)","ZAG"),
"MD","VOL"),
"MO (D)","PD"),
"MO (E)","PE"),
"MO (C)","MEI"),
"PL (C)","ATA"))</f>
        <v>VAZIO</v>
      </c>
      <c r="C2" s="251">
        <f t="shared" ref="C2:C12" si="1">BQ2</f>
        <v>0</v>
      </c>
      <c r="D2" s="251">
        <f>C2/90</f>
        <v>0</v>
      </c>
      <c r="E2" s="5">
        <f t="shared" ref="E2:E12" si="2">IFERROR(SUBSTITUTE(BO2," cm","")/100,0)</f>
        <v>0</v>
      </c>
      <c r="F2" s="24">
        <f t="shared" ref="F2:F12" si="3">IFERROR(CP2/D2,0)</f>
        <v>0</v>
      </c>
      <c r="G2" s="24">
        <f t="shared" ref="G2:G12" si="4">IFERROR(CQ2/D2,0)</f>
        <v>0</v>
      </c>
      <c r="H2" s="5">
        <f t="shared" ref="H2:H12" si="5">IFERROR((CP2-CQ2)/(D2),0)</f>
        <v>0</v>
      </c>
      <c r="I2" s="20">
        <f t="shared" ref="I2:I12" si="6">IFERROR((G2*1)/F2,0)</f>
        <v>0</v>
      </c>
      <c r="J2" s="353">
        <f t="shared" ref="J2:J12" si="7">CM2</f>
        <v>0</v>
      </c>
      <c r="K2" s="362">
        <f t="shared" ref="K2:K12" si="8">IFERROR(J2/D2,0)</f>
        <v>0</v>
      </c>
      <c r="L2" s="6">
        <f t="shared" ref="L2:L12" si="9">CP2</f>
        <v>0</v>
      </c>
      <c r="M2" s="6">
        <f t="shared" ref="M2:M12" si="10">IFERROR((CP2-CQ2),0)</f>
        <v>0</v>
      </c>
      <c r="N2" s="20">
        <f t="shared" ref="N2:N12" si="11">IFERROR((M2*1)/CP2,0)</f>
        <v>0</v>
      </c>
      <c r="O2" s="249">
        <f t="shared" ref="O2:O12" si="12">IFERROR((CH2+BW2+CO2+C2),0)</f>
        <v>0</v>
      </c>
      <c r="P2" s="250">
        <f t="shared" ref="P2:P12" si="13">IFERROR((O2/D2),0)</f>
        <v>0</v>
      </c>
      <c r="Q2" s="326">
        <f t="shared" ref="Q2:Q12" si="14">IFERROR(R2*D2,0)</f>
        <v>0</v>
      </c>
      <c r="R2" s="328">
        <f t="shared" ref="R2:R12" si="15">CC2</f>
        <v>0</v>
      </c>
      <c r="S2" s="6">
        <f t="shared" ref="S2:S12" si="16">IFERROR(CD2+X2+BX2+BS2,0)</f>
        <v>0</v>
      </c>
      <c r="T2" s="5">
        <f t="shared" ref="T2:T12" si="17">IFERROR(S2/D2,0)</f>
        <v>0</v>
      </c>
      <c r="U2" s="6">
        <f t="shared" ref="U2:U12" si="18">CH2</f>
        <v>0</v>
      </c>
      <c r="V2" s="6">
        <f t="shared" ref="V2:V12" si="19">CI2</f>
        <v>0</v>
      </c>
      <c r="W2" s="21">
        <f t="shared" ref="W2:W12" si="20">IFERROR((V2*1)/U2,0)</f>
        <v>0</v>
      </c>
      <c r="X2" s="5">
        <f t="shared" ref="X2:X12" si="21">IFERROR(SUBSTITUTE(CB2,".","," )*1,0)</f>
        <v>0</v>
      </c>
      <c r="Y2" s="5">
        <f t="shared" ref="Y2:Y12" si="22">IFERROR(X2/D2,0)</f>
        <v>0</v>
      </c>
      <c r="Z2" s="5">
        <f t="shared" ref="Z2:Z12" si="23">IFERROR(VALUE(SUBSTITUTE(CA2,".",","))-(BU2*0.79),0)</f>
        <v>0</v>
      </c>
      <c r="AA2" s="5">
        <f t="shared" ref="AA2:AA12" si="24">IFERROR(Z2/D2,0)</f>
        <v>0</v>
      </c>
      <c r="AB2" s="5">
        <f t="shared" ref="AB2:AB12" si="25">IFERROR(X2+Z2,0)</f>
        <v>0</v>
      </c>
      <c r="AC2" s="5">
        <f t="shared" ref="AC2:AC12" si="26">IFERROR(AB2/D2,0)</f>
        <v>0</v>
      </c>
      <c r="AD2" s="6">
        <f t="shared" ref="AD2:AD12" si="27">BW2-BU2</f>
        <v>0</v>
      </c>
      <c r="AE2" s="5">
        <f t="shared" ref="AE2:AE12" si="28">IFERROR(AD2/D2,0)</f>
        <v>0</v>
      </c>
      <c r="AF2" s="5">
        <f t="shared" ref="AF2:AF12" si="29">IFERROR((BX2-BV2)/(D2-BU2),0)</f>
        <v>0</v>
      </c>
      <c r="AG2" s="20">
        <f t="shared" ref="AG2:AG12" si="30">IFERROR((BX2-BV2)/(BW2-BU2),0)</f>
        <v>0</v>
      </c>
      <c r="AH2" s="21">
        <f t="shared" ref="AH2:AH12" si="31">IFERROR((BS2-BV2)/(BW2-BU2),0)</f>
        <v>0</v>
      </c>
      <c r="AI2" s="6">
        <f t="shared" ref="AI2:AI12" si="32">BS2</f>
        <v>0</v>
      </c>
      <c r="AJ2" s="5">
        <f t="shared" ref="AJ2:AJ12" si="33">IFERROR(AI2/D2,0)</f>
        <v>0</v>
      </c>
      <c r="AK2" s="6">
        <f t="shared" ref="AK2:AK12" si="34">BT2</f>
        <v>0</v>
      </c>
      <c r="AL2" s="5">
        <f t="shared" ref="AL2:AL12" si="35">IFERROR((AK2/D2),0)</f>
        <v>0</v>
      </c>
      <c r="AM2" s="6">
        <f t="shared" ref="AM2:AM12" si="36">AI2+AK2</f>
        <v>0</v>
      </c>
      <c r="AN2" s="5">
        <f t="shared" ref="AN2:AN12" si="37">IFERROR(AJ2+AL2,0)</f>
        <v>0</v>
      </c>
      <c r="AO2" s="6">
        <f t="shared" ref="AO2:AO12" si="38">IFERROR(BY2,0)</f>
        <v>0</v>
      </c>
      <c r="AP2" s="24">
        <f t="shared" ref="AP2:AP12" si="39">IFERROR(AO2/D2,0)</f>
        <v>0</v>
      </c>
      <c r="AQ2" s="6">
        <f t="shared" ref="AQ2:AQ12" si="40">BZ2</f>
        <v>0</v>
      </c>
      <c r="AR2" s="196">
        <f t="shared" ref="AR2:AR12" si="41">IFERROR(AQ2/D2,0)</f>
        <v>0</v>
      </c>
      <c r="AS2" s="21">
        <f t="shared" ref="AS2:AS12" si="42">IFERROR((AQ2*1)/AO2,0)</f>
        <v>0</v>
      </c>
      <c r="AT2" s="208">
        <f t="shared" ref="AT2:AT12" si="43">CU2+CK2+CJ2</f>
        <v>0</v>
      </c>
      <c r="AU2" s="196">
        <f t="shared" ref="AU2:AU12" si="44">IFERROR(AT2/D2,0)</f>
        <v>0</v>
      </c>
      <c r="AV2" s="6">
        <f t="shared" ref="AV2:AV12" si="45">CV2+CJ2</f>
        <v>0</v>
      </c>
      <c r="AW2" s="5">
        <f t="shared" ref="AW2:AW12" si="46">IFERROR(AV2/D2,0)</f>
        <v>0</v>
      </c>
      <c r="AX2" s="21">
        <f t="shared" ref="AX2:AX12" si="47">IFERROR(AV2/AT2,0)</f>
        <v>0</v>
      </c>
      <c r="AY2" s="326">
        <f t="shared" ref="AY2:AY12" si="48">CK2</f>
        <v>0</v>
      </c>
      <c r="AZ2" s="328">
        <f t="shared" ref="AZ2:AZ12" si="49">IFERROR(AY2/D2,0)</f>
        <v>0</v>
      </c>
      <c r="BA2" s="326">
        <f t="shared" ref="BA2:BA12" si="50">CF2-CH2</f>
        <v>0</v>
      </c>
      <c r="BB2" s="326">
        <f t="shared" ref="BB2:BB12" si="51">CG2-CI2</f>
        <v>0</v>
      </c>
      <c r="BC2" s="318">
        <f t="shared" ref="BC2:BC12" si="52">IFERROR(BB2/BA2,0)</f>
        <v>0</v>
      </c>
      <c r="BD2" s="2">
        <f t="shared" ref="BD2:BD12" si="53">CE2</f>
        <v>0</v>
      </c>
      <c r="BE2" s="5">
        <f t="shared" ref="BE2:BE12" si="54">IFERROR(BD2/D2,0)</f>
        <v>0</v>
      </c>
      <c r="BF2" s="5">
        <f t="shared" ref="BF2:BF12" si="55">IFERROR(VALUE(SUBSTITUTE(CN2," km","")),0)</f>
        <v>0</v>
      </c>
      <c r="BG2" s="5">
        <f t="shared" ref="BG2:BG12" si="56">IFERROR((BF2/D2),0)</f>
        <v>0</v>
      </c>
      <c r="BH2" s="2">
        <f t="shared" ref="BH2:BH12" si="57">CO2</f>
        <v>0</v>
      </c>
      <c r="BI2" s="5">
        <f t="shared" ref="BI2:BI12" si="58">IFERROR(BH2/D2,0)</f>
        <v>0</v>
      </c>
      <c r="BJ2" s="5">
        <f t="shared" ref="BJ2:BJ12" si="59">IFERROR(VALUE(SUBSTITUTE(BR2, ".", ",")),6)</f>
        <v>6</v>
      </c>
      <c r="BK2" s="296"/>
      <c r="BL2" s="292"/>
      <c r="BM2" s="292"/>
      <c r="BN2" s="292"/>
      <c r="BO2" s="292"/>
      <c r="BP2" s="292"/>
      <c r="BQ2" s="292"/>
      <c r="BR2" s="292"/>
      <c r="BS2" s="292"/>
      <c r="BT2" s="292"/>
      <c r="BU2" s="292"/>
      <c r="BV2" s="292"/>
      <c r="BW2" s="292"/>
      <c r="BX2" s="292"/>
      <c r="BY2" s="292"/>
      <c r="BZ2" s="292"/>
      <c r="CA2" s="292"/>
      <c r="CB2" s="292"/>
      <c r="CC2" s="292"/>
      <c r="CD2" s="292"/>
      <c r="CE2" s="292"/>
      <c r="CF2" s="292"/>
      <c r="CG2" s="292"/>
      <c r="CH2" s="292"/>
      <c r="CI2" s="292"/>
      <c r="CJ2" s="292"/>
      <c r="CK2" s="292"/>
      <c r="CL2" s="292"/>
      <c r="CM2" s="292"/>
      <c r="CN2" s="292"/>
      <c r="CO2" s="292"/>
      <c r="CP2" s="292"/>
      <c r="CQ2" s="292"/>
      <c r="CR2" s="292"/>
      <c r="CS2" s="292"/>
      <c r="CT2" s="292"/>
      <c r="CU2" s="292"/>
      <c r="CV2" s="297"/>
      <c r="CW2" s="225"/>
    </row>
    <row r="3" spans="1:115" ht="30" customHeight="1" thickBot="1" x14ac:dyDescent="0.3">
      <c r="A3" s="253" t="str">
        <f t="shared" si="0"/>
        <v>Sem Jogador Adicionado</v>
      </c>
      <c r="B3" s="252" t="str">
        <f t="shared" ref="B3:B12" si="60">IF(BL3=0,"VAZIO",
SUBSTITUTE(
SUBSTITUTE(
SUBSTITUTE(
SUBSTITUTE(
SUBSTITUTE(
SUBSTITUTE(
SUBSTITUTE(
SUBSTITUTE(
SUBSTITUTE(BL3,"GR","GOL"),
"D (D)","LD"),
"D (E)","LE"),
"D (C)","ZAG"),
"MD","VOL"),
"MO (D)","PD"),
"MO (E)","PE"),
"MO (C)","MEI"),
"PL (C)","ATA"))</f>
        <v>VAZIO</v>
      </c>
      <c r="C3" s="251">
        <f t="shared" si="1"/>
        <v>0</v>
      </c>
      <c r="D3" s="251">
        <f t="shared" ref="D3:D12" si="61">C3/90</f>
        <v>0</v>
      </c>
      <c r="E3" s="5">
        <f t="shared" si="2"/>
        <v>0</v>
      </c>
      <c r="F3" s="24">
        <f t="shared" si="3"/>
        <v>0</v>
      </c>
      <c r="G3" s="24">
        <f t="shared" si="4"/>
        <v>0</v>
      </c>
      <c r="H3" s="5">
        <f t="shared" si="5"/>
        <v>0</v>
      </c>
      <c r="I3" s="20">
        <f t="shared" si="6"/>
        <v>0</v>
      </c>
      <c r="J3" s="353">
        <f t="shared" si="7"/>
        <v>0</v>
      </c>
      <c r="K3" s="362">
        <f t="shared" si="8"/>
        <v>0</v>
      </c>
      <c r="L3" s="6">
        <f t="shared" si="9"/>
        <v>0</v>
      </c>
      <c r="M3" s="6">
        <f t="shared" si="10"/>
        <v>0</v>
      </c>
      <c r="N3" s="20">
        <f t="shared" si="11"/>
        <v>0</v>
      </c>
      <c r="O3" s="249">
        <f t="shared" si="12"/>
        <v>0</v>
      </c>
      <c r="P3" s="250">
        <f t="shared" si="13"/>
        <v>0</v>
      </c>
      <c r="Q3" s="326">
        <f t="shared" si="14"/>
        <v>0</v>
      </c>
      <c r="R3" s="328">
        <f t="shared" si="15"/>
        <v>0</v>
      </c>
      <c r="S3" s="6">
        <f t="shared" si="16"/>
        <v>0</v>
      </c>
      <c r="T3" s="5">
        <f t="shared" si="17"/>
        <v>0</v>
      </c>
      <c r="U3" s="6">
        <f t="shared" si="18"/>
        <v>0</v>
      </c>
      <c r="V3" s="6">
        <f t="shared" si="19"/>
        <v>0</v>
      </c>
      <c r="W3" s="21">
        <f t="shared" si="20"/>
        <v>0</v>
      </c>
      <c r="X3" s="5">
        <f t="shared" si="21"/>
        <v>0</v>
      </c>
      <c r="Y3" s="5">
        <f t="shared" si="22"/>
        <v>0</v>
      </c>
      <c r="Z3" s="5">
        <f t="shared" si="23"/>
        <v>0</v>
      </c>
      <c r="AA3" s="5">
        <f t="shared" si="24"/>
        <v>0</v>
      </c>
      <c r="AB3" s="5">
        <f t="shared" si="25"/>
        <v>0</v>
      </c>
      <c r="AC3" s="5">
        <f t="shared" si="26"/>
        <v>0</v>
      </c>
      <c r="AD3" s="6">
        <f t="shared" si="27"/>
        <v>0</v>
      </c>
      <c r="AE3" s="5">
        <f t="shared" si="28"/>
        <v>0</v>
      </c>
      <c r="AF3" s="5">
        <f t="shared" si="29"/>
        <v>0</v>
      </c>
      <c r="AG3" s="20">
        <f t="shared" si="30"/>
        <v>0</v>
      </c>
      <c r="AH3" s="21">
        <f t="shared" si="31"/>
        <v>0</v>
      </c>
      <c r="AI3" s="6">
        <f t="shared" si="32"/>
        <v>0</v>
      </c>
      <c r="AJ3" s="5">
        <f t="shared" si="33"/>
        <v>0</v>
      </c>
      <c r="AK3" s="6">
        <f t="shared" si="34"/>
        <v>0</v>
      </c>
      <c r="AL3" s="5">
        <f t="shared" si="35"/>
        <v>0</v>
      </c>
      <c r="AM3" s="6">
        <f t="shared" si="36"/>
        <v>0</v>
      </c>
      <c r="AN3" s="5">
        <f t="shared" si="37"/>
        <v>0</v>
      </c>
      <c r="AO3" s="6">
        <f t="shared" si="38"/>
        <v>0</v>
      </c>
      <c r="AP3" s="24">
        <f t="shared" si="39"/>
        <v>0</v>
      </c>
      <c r="AQ3" s="6">
        <f t="shared" si="40"/>
        <v>0</v>
      </c>
      <c r="AR3" s="196">
        <f t="shared" si="41"/>
        <v>0</v>
      </c>
      <c r="AS3" s="21">
        <f t="shared" si="42"/>
        <v>0</v>
      </c>
      <c r="AT3" s="208">
        <f t="shared" si="43"/>
        <v>0</v>
      </c>
      <c r="AU3" s="196">
        <f t="shared" si="44"/>
        <v>0</v>
      </c>
      <c r="AV3" s="6">
        <f t="shared" si="45"/>
        <v>0</v>
      </c>
      <c r="AW3" s="5">
        <f t="shared" si="46"/>
        <v>0</v>
      </c>
      <c r="AX3" s="21">
        <f t="shared" si="47"/>
        <v>0</v>
      </c>
      <c r="AY3" s="326">
        <f t="shared" si="48"/>
        <v>0</v>
      </c>
      <c r="AZ3" s="328">
        <f t="shared" si="49"/>
        <v>0</v>
      </c>
      <c r="BA3" s="326">
        <f t="shared" si="50"/>
        <v>0</v>
      </c>
      <c r="BB3" s="326">
        <f t="shared" si="51"/>
        <v>0</v>
      </c>
      <c r="BC3" s="318">
        <f t="shared" si="52"/>
        <v>0</v>
      </c>
      <c r="BD3" s="2">
        <f t="shared" si="53"/>
        <v>0</v>
      </c>
      <c r="BE3" s="5">
        <f t="shared" si="54"/>
        <v>0</v>
      </c>
      <c r="BF3" s="5">
        <f t="shared" si="55"/>
        <v>0</v>
      </c>
      <c r="BG3" s="5">
        <f t="shared" si="56"/>
        <v>0</v>
      </c>
      <c r="BH3" s="2">
        <f t="shared" si="57"/>
        <v>0</v>
      </c>
      <c r="BI3" s="5">
        <f t="shared" si="58"/>
        <v>0</v>
      </c>
      <c r="BJ3" s="5">
        <f t="shared" si="59"/>
        <v>6</v>
      </c>
      <c r="BK3" s="298"/>
      <c r="BL3" s="294"/>
      <c r="BM3" s="294"/>
      <c r="BN3" s="294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4"/>
      <c r="CC3" s="294"/>
      <c r="CD3" s="294"/>
      <c r="CE3" s="29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9"/>
      <c r="CW3" s="225"/>
    </row>
    <row r="4" spans="1:115" ht="30" customHeight="1" thickBot="1" x14ac:dyDescent="0.3">
      <c r="A4" s="253" t="str">
        <f t="shared" si="0"/>
        <v>Sem Jogador Adicionado</v>
      </c>
      <c r="B4" s="252" t="str">
        <f t="shared" si="60"/>
        <v>VAZIO</v>
      </c>
      <c r="C4" s="251">
        <f t="shared" si="1"/>
        <v>0</v>
      </c>
      <c r="D4" s="251">
        <f t="shared" si="61"/>
        <v>0</v>
      </c>
      <c r="E4" s="5">
        <f t="shared" si="2"/>
        <v>0</v>
      </c>
      <c r="F4" s="24">
        <f t="shared" si="3"/>
        <v>0</v>
      </c>
      <c r="G4" s="24">
        <f t="shared" si="4"/>
        <v>0</v>
      </c>
      <c r="H4" s="5">
        <f t="shared" si="5"/>
        <v>0</v>
      </c>
      <c r="I4" s="20">
        <f t="shared" si="6"/>
        <v>0</v>
      </c>
      <c r="J4" s="353">
        <f t="shared" si="7"/>
        <v>0</v>
      </c>
      <c r="K4" s="362">
        <f t="shared" si="8"/>
        <v>0</v>
      </c>
      <c r="L4" s="6">
        <f t="shared" si="9"/>
        <v>0</v>
      </c>
      <c r="M4" s="6">
        <f t="shared" si="10"/>
        <v>0</v>
      </c>
      <c r="N4" s="20">
        <f t="shared" si="11"/>
        <v>0</v>
      </c>
      <c r="O4" s="249">
        <f t="shared" si="12"/>
        <v>0</v>
      </c>
      <c r="P4" s="250">
        <f t="shared" si="13"/>
        <v>0</v>
      </c>
      <c r="Q4" s="326">
        <f t="shared" si="14"/>
        <v>0</v>
      </c>
      <c r="R4" s="328">
        <f t="shared" si="15"/>
        <v>0</v>
      </c>
      <c r="S4" s="6">
        <f t="shared" si="16"/>
        <v>0</v>
      </c>
      <c r="T4" s="5">
        <f t="shared" si="17"/>
        <v>0</v>
      </c>
      <c r="U4" s="6">
        <f t="shared" si="18"/>
        <v>0</v>
      </c>
      <c r="V4" s="6">
        <f t="shared" si="19"/>
        <v>0</v>
      </c>
      <c r="W4" s="21">
        <f t="shared" si="20"/>
        <v>0</v>
      </c>
      <c r="X4" s="5">
        <f t="shared" si="21"/>
        <v>0</v>
      </c>
      <c r="Y4" s="5">
        <f t="shared" si="22"/>
        <v>0</v>
      </c>
      <c r="Z4" s="5">
        <f t="shared" si="23"/>
        <v>0</v>
      </c>
      <c r="AA4" s="5">
        <f t="shared" si="24"/>
        <v>0</v>
      </c>
      <c r="AB4" s="5">
        <f t="shared" si="25"/>
        <v>0</v>
      </c>
      <c r="AC4" s="5">
        <f t="shared" si="26"/>
        <v>0</v>
      </c>
      <c r="AD4" s="6">
        <f t="shared" si="27"/>
        <v>0</v>
      </c>
      <c r="AE4" s="5">
        <f t="shared" si="28"/>
        <v>0</v>
      </c>
      <c r="AF4" s="5">
        <f t="shared" si="29"/>
        <v>0</v>
      </c>
      <c r="AG4" s="20">
        <f t="shared" si="30"/>
        <v>0</v>
      </c>
      <c r="AH4" s="21">
        <f t="shared" si="31"/>
        <v>0</v>
      </c>
      <c r="AI4" s="6">
        <f t="shared" si="32"/>
        <v>0</v>
      </c>
      <c r="AJ4" s="5">
        <f t="shared" si="33"/>
        <v>0</v>
      </c>
      <c r="AK4" s="6">
        <f t="shared" si="34"/>
        <v>0</v>
      </c>
      <c r="AL4" s="5">
        <f t="shared" si="35"/>
        <v>0</v>
      </c>
      <c r="AM4" s="6">
        <f t="shared" si="36"/>
        <v>0</v>
      </c>
      <c r="AN4" s="5">
        <f t="shared" si="37"/>
        <v>0</v>
      </c>
      <c r="AO4" s="6">
        <f t="shared" si="38"/>
        <v>0</v>
      </c>
      <c r="AP4" s="24">
        <f t="shared" si="39"/>
        <v>0</v>
      </c>
      <c r="AQ4" s="6">
        <f t="shared" si="40"/>
        <v>0</v>
      </c>
      <c r="AR4" s="196">
        <f t="shared" si="41"/>
        <v>0</v>
      </c>
      <c r="AS4" s="21">
        <f t="shared" si="42"/>
        <v>0</v>
      </c>
      <c r="AT4" s="208">
        <f t="shared" si="43"/>
        <v>0</v>
      </c>
      <c r="AU4" s="196">
        <f t="shared" si="44"/>
        <v>0</v>
      </c>
      <c r="AV4" s="6">
        <f t="shared" si="45"/>
        <v>0</v>
      </c>
      <c r="AW4" s="5">
        <f t="shared" si="46"/>
        <v>0</v>
      </c>
      <c r="AX4" s="21">
        <f t="shared" si="47"/>
        <v>0</v>
      </c>
      <c r="AY4" s="326">
        <f t="shared" si="48"/>
        <v>0</v>
      </c>
      <c r="AZ4" s="328">
        <f t="shared" si="49"/>
        <v>0</v>
      </c>
      <c r="BA4" s="326">
        <f t="shared" si="50"/>
        <v>0</v>
      </c>
      <c r="BB4" s="326">
        <f t="shared" si="51"/>
        <v>0</v>
      </c>
      <c r="BC4" s="318">
        <f t="shared" si="52"/>
        <v>0</v>
      </c>
      <c r="BD4" s="2">
        <f t="shared" si="53"/>
        <v>0</v>
      </c>
      <c r="BE4" s="5">
        <f t="shared" si="54"/>
        <v>0</v>
      </c>
      <c r="BF4" s="5">
        <f t="shared" si="55"/>
        <v>0</v>
      </c>
      <c r="BG4" s="5">
        <f t="shared" si="56"/>
        <v>0</v>
      </c>
      <c r="BH4" s="2">
        <f t="shared" si="57"/>
        <v>0</v>
      </c>
      <c r="BI4" s="5">
        <f t="shared" si="58"/>
        <v>0</v>
      </c>
      <c r="BJ4" s="5">
        <f t="shared" si="59"/>
        <v>6</v>
      </c>
      <c r="BK4" s="298"/>
      <c r="BL4" s="294"/>
      <c r="BM4" s="294"/>
      <c r="BN4" s="294"/>
      <c r="BO4" s="294"/>
      <c r="BP4" s="294"/>
      <c r="BQ4" s="294"/>
      <c r="BR4" s="294"/>
      <c r="BS4" s="294"/>
      <c r="BT4" s="294"/>
      <c r="BU4" s="294"/>
      <c r="BV4" s="294"/>
      <c r="BW4" s="294"/>
      <c r="BX4" s="294"/>
      <c r="BY4" s="294"/>
      <c r="BZ4" s="294"/>
      <c r="CA4" s="294"/>
      <c r="CB4" s="294"/>
      <c r="CC4" s="294"/>
      <c r="CD4" s="294"/>
      <c r="CE4" s="294"/>
      <c r="CF4" s="294"/>
      <c r="CG4" s="294"/>
      <c r="CH4" s="294"/>
      <c r="CI4" s="294"/>
      <c r="CJ4" s="294"/>
      <c r="CK4" s="294"/>
      <c r="CL4" s="294"/>
      <c r="CM4" s="294"/>
      <c r="CN4" s="294"/>
      <c r="CO4" s="294"/>
      <c r="CP4" s="294"/>
      <c r="CQ4" s="294"/>
      <c r="CR4" s="294"/>
      <c r="CS4" s="294"/>
      <c r="CT4" s="294"/>
      <c r="CU4" s="294"/>
      <c r="CV4" s="299"/>
      <c r="CW4" s="294">
        <v>0</v>
      </c>
      <c r="CX4" s="294">
        <v>0</v>
      </c>
      <c r="CY4" s="294">
        <v>0</v>
      </c>
      <c r="CZ4" s="294">
        <v>0</v>
      </c>
      <c r="DA4" s="294">
        <v>0</v>
      </c>
      <c r="DB4" s="294">
        <v>0</v>
      </c>
      <c r="DC4" s="294" t="s">
        <v>797</v>
      </c>
      <c r="DD4" s="294">
        <v>0</v>
      </c>
      <c r="DE4" s="294">
        <v>55</v>
      </c>
      <c r="DF4" s="294">
        <v>52</v>
      </c>
      <c r="DG4" s="294">
        <v>2</v>
      </c>
      <c r="DH4" s="294">
        <v>3</v>
      </c>
      <c r="DI4" s="294">
        <v>1</v>
      </c>
      <c r="DJ4" s="294">
        <v>1</v>
      </c>
      <c r="DK4" s="299">
        <v>1</v>
      </c>
    </row>
    <row r="5" spans="1:115" ht="30" customHeight="1" thickBot="1" x14ac:dyDescent="0.3">
      <c r="A5" s="253" t="str">
        <f t="shared" si="0"/>
        <v>Sem Jogador Adicionado</v>
      </c>
      <c r="B5" s="252" t="str">
        <f t="shared" si="60"/>
        <v>VAZIO</v>
      </c>
      <c r="C5" s="251">
        <f t="shared" si="1"/>
        <v>0</v>
      </c>
      <c r="D5" s="251">
        <f t="shared" si="61"/>
        <v>0</v>
      </c>
      <c r="E5" s="5">
        <f t="shared" si="2"/>
        <v>0</v>
      </c>
      <c r="F5" s="24">
        <f t="shared" si="3"/>
        <v>0</v>
      </c>
      <c r="G5" s="24">
        <f t="shared" si="4"/>
        <v>0</v>
      </c>
      <c r="H5" s="5">
        <f t="shared" si="5"/>
        <v>0</v>
      </c>
      <c r="I5" s="20">
        <f t="shared" si="6"/>
        <v>0</v>
      </c>
      <c r="J5" s="353">
        <f t="shared" si="7"/>
        <v>0</v>
      </c>
      <c r="K5" s="362">
        <f t="shared" si="8"/>
        <v>0</v>
      </c>
      <c r="L5" s="6">
        <f t="shared" si="9"/>
        <v>0</v>
      </c>
      <c r="M5" s="6">
        <f t="shared" si="10"/>
        <v>0</v>
      </c>
      <c r="N5" s="20">
        <f t="shared" si="11"/>
        <v>0</v>
      </c>
      <c r="O5" s="249">
        <f t="shared" si="12"/>
        <v>0</v>
      </c>
      <c r="P5" s="250">
        <f t="shared" si="13"/>
        <v>0</v>
      </c>
      <c r="Q5" s="326">
        <f t="shared" si="14"/>
        <v>0</v>
      </c>
      <c r="R5" s="328">
        <f t="shared" si="15"/>
        <v>0</v>
      </c>
      <c r="S5" s="6">
        <f t="shared" si="16"/>
        <v>0</v>
      </c>
      <c r="T5" s="5">
        <f t="shared" si="17"/>
        <v>0</v>
      </c>
      <c r="U5" s="6">
        <f t="shared" si="18"/>
        <v>0</v>
      </c>
      <c r="V5" s="6">
        <f t="shared" si="19"/>
        <v>0</v>
      </c>
      <c r="W5" s="21">
        <f t="shared" si="20"/>
        <v>0</v>
      </c>
      <c r="X5" s="5">
        <f t="shared" si="21"/>
        <v>0</v>
      </c>
      <c r="Y5" s="5">
        <f t="shared" si="22"/>
        <v>0</v>
      </c>
      <c r="Z5" s="5">
        <f t="shared" si="23"/>
        <v>0</v>
      </c>
      <c r="AA5" s="5">
        <f t="shared" si="24"/>
        <v>0</v>
      </c>
      <c r="AB5" s="5">
        <f t="shared" si="25"/>
        <v>0</v>
      </c>
      <c r="AC5" s="5">
        <f t="shared" si="26"/>
        <v>0</v>
      </c>
      <c r="AD5" s="6">
        <f t="shared" si="27"/>
        <v>0</v>
      </c>
      <c r="AE5" s="5">
        <f t="shared" si="28"/>
        <v>0</v>
      </c>
      <c r="AF5" s="5">
        <f t="shared" si="29"/>
        <v>0</v>
      </c>
      <c r="AG5" s="20">
        <f t="shared" si="30"/>
        <v>0</v>
      </c>
      <c r="AH5" s="21">
        <f t="shared" si="31"/>
        <v>0</v>
      </c>
      <c r="AI5" s="6">
        <f t="shared" si="32"/>
        <v>0</v>
      </c>
      <c r="AJ5" s="5">
        <f t="shared" si="33"/>
        <v>0</v>
      </c>
      <c r="AK5" s="6">
        <f t="shared" si="34"/>
        <v>0</v>
      </c>
      <c r="AL5" s="5">
        <f t="shared" si="35"/>
        <v>0</v>
      </c>
      <c r="AM5" s="6">
        <f t="shared" si="36"/>
        <v>0</v>
      </c>
      <c r="AN5" s="5">
        <f t="shared" si="37"/>
        <v>0</v>
      </c>
      <c r="AO5" s="6">
        <f t="shared" si="38"/>
        <v>0</v>
      </c>
      <c r="AP5" s="24">
        <f t="shared" si="39"/>
        <v>0</v>
      </c>
      <c r="AQ5" s="6">
        <f t="shared" si="40"/>
        <v>0</v>
      </c>
      <c r="AR5" s="196">
        <f t="shared" si="41"/>
        <v>0</v>
      </c>
      <c r="AS5" s="21">
        <f t="shared" si="42"/>
        <v>0</v>
      </c>
      <c r="AT5" s="208">
        <f t="shared" si="43"/>
        <v>0</v>
      </c>
      <c r="AU5" s="196">
        <f t="shared" si="44"/>
        <v>0</v>
      </c>
      <c r="AV5" s="6">
        <f t="shared" si="45"/>
        <v>0</v>
      </c>
      <c r="AW5" s="5">
        <f t="shared" si="46"/>
        <v>0</v>
      </c>
      <c r="AX5" s="21">
        <f t="shared" si="47"/>
        <v>0</v>
      </c>
      <c r="AY5" s="326">
        <f t="shared" si="48"/>
        <v>0</v>
      </c>
      <c r="AZ5" s="328">
        <f t="shared" si="49"/>
        <v>0</v>
      </c>
      <c r="BA5" s="326">
        <f t="shared" si="50"/>
        <v>0</v>
      </c>
      <c r="BB5" s="326">
        <f t="shared" si="51"/>
        <v>0</v>
      </c>
      <c r="BC5" s="318">
        <f t="shared" si="52"/>
        <v>0</v>
      </c>
      <c r="BD5" s="2">
        <f t="shared" si="53"/>
        <v>0</v>
      </c>
      <c r="BE5" s="5">
        <f t="shared" si="54"/>
        <v>0</v>
      </c>
      <c r="BF5" s="5">
        <f t="shared" si="55"/>
        <v>0</v>
      </c>
      <c r="BG5" s="5">
        <f t="shared" si="56"/>
        <v>0</v>
      </c>
      <c r="BH5" s="2">
        <f t="shared" si="57"/>
        <v>0</v>
      </c>
      <c r="BI5" s="5">
        <f t="shared" si="58"/>
        <v>0</v>
      </c>
      <c r="BJ5" s="5">
        <f t="shared" si="59"/>
        <v>6</v>
      </c>
      <c r="BK5" s="296"/>
      <c r="BL5" s="292"/>
      <c r="BM5" s="292"/>
      <c r="BN5" s="292"/>
      <c r="BO5" s="292"/>
      <c r="BP5" s="292"/>
      <c r="BQ5" s="292"/>
      <c r="BR5" s="292"/>
      <c r="BS5" s="292"/>
      <c r="BT5" s="292"/>
      <c r="BU5" s="292"/>
      <c r="BV5" s="292"/>
      <c r="BW5" s="292"/>
      <c r="BX5" s="292"/>
      <c r="BY5" s="292"/>
      <c r="BZ5" s="292"/>
      <c r="CA5" s="292"/>
      <c r="CB5" s="292"/>
      <c r="CC5" s="292"/>
      <c r="CD5" s="292"/>
      <c r="CE5" s="292"/>
      <c r="CF5" s="292"/>
      <c r="CG5" s="292"/>
      <c r="CH5" s="292"/>
      <c r="CI5" s="292"/>
      <c r="CJ5" s="292"/>
      <c r="CK5" s="292"/>
      <c r="CL5" s="292"/>
      <c r="CM5" s="292"/>
      <c r="CN5" s="292"/>
      <c r="CO5" s="292"/>
      <c r="CP5" s="292"/>
      <c r="CQ5" s="292"/>
      <c r="CR5" s="292"/>
      <c r="CS5" s="292"/>
      <c r="CT5" s="292"/>
      <c r="CU5" s="292"/>
      <c r="CV5" s="297"/>
      <c r="CW5" s="225"/>
    </row>
    <row r="6" spans="1:115" ht="30" customHeight="1" thickBot="1" x14ac:dyDescent="0.3">
      <c r="A6" s="253" t="str">
        <f t="shared" si="0"/>
        <v>Sem Jogador Adicionado</v>
      </c>
      <c r="B6" s="252" t="str">
        <f t="shared" si="60"/>
        <v>VAZIO</v>
      </c>
      <c r="C6" s="251">
        <f t="shared" si="1"/>
        <v>0</v>
      </c>
      <c r="D6" s="251">
        <f t="shared" si="61"/>
        <v>0</v>
      </c>
      <c r="E6" s="5">
        <f t="shared" si="2"/>
        <v>0</v>
      </c>
      <c r="F6" s="24">
        <f t="shared" si="3"/>
        <v>0</v>
      </c>
      <c r="G6" s="24">
        <f t="shared" si="4"/>
        <v>0</v>
      </c>
      <c r="H6" s="5">
        <f t="shared" si="5"/>
        <v>0</v>
      </c>
      <c r="I6" s="20">
        <f t="shared" si="6"/>
        <v>0</v>
      </c>
      <c r="J6" s="353">
        <f t="shared" si="7"/>
        <v>0</v>
      </c>
      <c r="K6" s="362">
        <f t="shared" si="8"/>
        <v>0</v>
      </c>
      <c r="L6" s="6">
        <f t="shared" si="9"/>
        <v>0</v>
      </c>
      <c r="M6" s="6">
        <f t="shared" si="10"/>
        <v>0</v>
      </c>
      <c r="N6" s="20">
        <f t="shared" si="11"/>
        <v>0</v>
      </c>
      <c r="O6" s="249">
        <f t="shared" si="12"/>
        <v>0</v>
      </c>
      <c r="P6" s="250">
        <f t="shared" si="13"/>
        <v>0</v>
      </c>
      <c r="Q6" s="326">
        <f t="shared" si="14"/>
        <v>0</v>
      </c>
      <c r="R6" s="328">
        <f t="shared" si="15"/>
        <v>0</v>
      </c>
      <c r="S6" s="6">
        <f t="shared" si="16"/>
        <v>0</v>
      </c>
      <c r="T6" s="5">
        <f t="shared" si="17"/>
        <v>0</v>
      </c>
      <c r="U6" s="6">
        <f t="shared" si="18"/>
        <v>0</v>
      </c>
      <c r="V6" s="6">
        <f t="shared" si="19"/>
        <v>0</v>
      </c>
      <c r="W6" s="21">
        <f t="shared" si="20"/>
        <v>0</v>
      </c>
      <c r="X6" s="5">
        <f t="shared" si="21"/>
        <v>0</v>
      </c>
      <c r="Y6" s="5">
        <f t="shared" si="22"/>
        <v>0</v>
      </c>
      <c r="Z6" s="5">
        <f t="shared" si="23"/>
        <v>0</v>
      </c>
      <c r="AA6" s="5">
        <f t="shared" si="24"/>
        <v>0</v>
      </c>
      <c r="AB6" s="5">
        <f t="shared" si="25"/>
        <v>0</v>
      </c>
      <c r="AC6" s="5">
        <f t="shared" si="26"/>
        <v>0</v>
      </c>
      <c r="AD6" s="6">
        <f t="shared" si="27"/>
        <v>0</v>
      </c>
      <c r="AE6" s="5">
        <f t="shared" si="28"/>
        <v>0</v>
      </c>
      <c r="AF6" s="5">
        <f t="shared" si="29"/>
        <v>0</v>
      </c>
      <c r="AG6" s="20">
        <f t="shared" si="30"/>
        <v>0</v>
      </c>
      <c r="AH6" s="21">
        <f t="shared" si="31"/>
        <v>0</v>
      </c>
      <c r="AI6" s="6">
        <f t="shared" si="32"/>
        <v>0</v>
      </c>
      <c r="AJ6" s="5">
        <f t="shared" si="33"/>
        <v>0</v>
      </c>
      <c r="AK6" s="6">
        <f t="shared" si="34"/>
        <v>0</v>
      </c>
      <c r="AL6" s="5">
        <f t="shared" si="35"/>
        <v>0</v>
      </c>
      <c r="AM6" s="6">
        <f t="shared" si="36"/>
        <v>0</v>
      </c>
      <c r="AN6" s="5">
        <f t="shared" si="37"/>
        <v>0</v>
      </c>
      <c r="AO6" s="6">
        <f t="shared" si="38"/>
        <v>0</v>
      </c>
      <c r="AP6" s="24">
        <f t="shared" si="39"/>
        <v>0</v>
      </c>
      <c r="AQ6" s="6">
        <f t="shared" si="40"/>
        <v>0</v>
      </c>
      <c r="AR6" s="196">
        <f t="shared" si="41"/>
        <v>0</v>
      </c>
      <c r="AS6" s="21">
        <f t="shared" si="42"/>
        <v>0</v>
      </c>
      <c r="AT6" s="208">
        <f t="shared" si="43"/>
        <v>0</v>
      </c>
      <c r="AU6" s="196">
        <f t="shared" si="44"/>
        <v>0</v>
      </c>
      <c r="AV6" s="6">
        <f t="shared" si="45"/>
        <v>0</v>
      </c>
      <c r="AW6" s="5">
        <f t="shared" si="46"/>
        <v>0</v>
      </c>
      <c r="AX6" s="21">
        <f t="shared" si="47"/>
        <v>0</v>
      </c>
      <c r="AY6" s="326">
        <f t="shared" si="48"/>
        <v>0</v>
      </c>
      <c r="AZ6" s="328">
        <f t="shared" si="49"/>
        <v>0</v>
      </c>
      <c r="BA6" s="326">
        <f t="shared" si="50"/>
        <v>0</v>
      </c>
      <c r="BB6" s="326">
        <f t="shared" si="51"/>
        <v>0</v>
      </c>
      <c r="BC6" s="318">
        <f t="shared" si="52"/>
        <v>0</v>
      </c>
      <c r="BD6" s="2">
        <f t="shared" si="53"/>
        <v>0</v>
      </c>
      <c r="BE6" s="5">
        <f t="shared" si="54"/>
        <v>0</v>
      </c>
      <c r="BF6" s="5">
        <f t="shared" si="55"/>
        <v>0</v>
      </c>
      <c r="BG6" s="5">
        <f t="shared" si="56"/>
        <v>0</v>
      </c>
      <c r="BH6" s="2">
        <f t="shared" si="57"/>
        <v>0</v>
      </c>
      <c r="BI6" s="5">
        <f t="shared" si="58"/>
        <v>0</v>
      </c>
      <c r="BJ6" s="5">
        <f t="shared" si="59"/>
        <v>6</v>
      </c>
      <c r="BK6" s="296"/>
      <c r="BL6" s="292"/>
      <c r="BM6" s="292"/>
      <c r="BN6" s="292"/>
      <c r="BO6" s="292"/>
      <c r="BP6" s="292"/>
      <c r="BQ6" s="292"/>
      <c r="BR6" s="292"/>
      <c r="BS6" s="292"/>
      <c r="BT6" s="292"/>
      <c r="BU6" s="292"/>
      <c r="BV6" s="292"/>
      <c r="BW6" s="292"/>
      <c r="BX6" s="292"/>
      <c r="BY6" s="292"/>
      <c r="BZ6" s="292"/>
      <c r="CA6" s="292"/>
      <c r="CB6" s="292"/>
      <c r="CC6" s="292"/>
      <c r="CD6" s="292"/>
      <c r="CE6" s="292"/>
      <c r="CF6" s="292"/>
      <c r="CG6" s="292"/>
      <c r="CH6" s="292"/>
      <c r="CI6" s="292"/>
      <c r="CJ6" s="292"/>
      <c r="CK6" s="292"/>
      <c r="CL6" s="292"/>
      <c r="CM6" s="292"/>
      <c r="CN6" s="292"/>
      <c r="CO6" s="292"/>
      <c r="CP6" s="292"/>
      <c r="CQ6" s="292"/>
      <c r="CR6" s="292"/>
      <c r="CS6" s="292"/>
      <c r="CT6" s="292"/>
      <c r="CU6" s="292"/>
      <c r="CV6" s="297"/>
      <c r="CW6" s="225"/>
    </row>
    <row r="7" spans="1:115" ht="30" customHeight="1" thickBot="1" x14ac:dyDescent="0.3">
      <c r="A7" s="253" t="str">
        <f t="shared" si="0"/>
        <v>Sem Jogador Adicionado</v>
      </c>
      <c r="B7" s="252" t="str">
        <f t="shared" si="60"/>
        <v>VAZIO</v>
      </c>
      <c r="C7" s="251">
        <f t="shared" si="1"/>
        <v>0</v>
      </c>
      <c r="D7" s="251">
        <f t="shared" si="61"/>
        <v>0</v>
      </c>
      <c r="E7" s="5">
        <f t="shared" si="2"/>
        <v>0</v>
      </c>
      <c r="F7" s="24">
        <f t="shared" si="3"/>
        <v>0</v>
      </c>
      <c r="G7" s="24">
        <f t="shared" si="4"/>
        <v>0</v>
      </c>
      <c r="H7" s="5">
        <f t="shared" si="5"/>
        <v>0</v>
      </c>
      <c r="I7" s="20">
        <f t="shared" si="6"/>
        <v>0</v>
      </c>
      <c r="J7" s="353">
        <f t="shared" si="7"/>
        <v>0</v>
      </c>
      <c r="K7" s="362">
        <f t="shared" si="8"/>
        <v>0</v>
      </c>
      <c r="L7" s="6">
        <f t="shared" si="9"/>
        <v>0</v>
      </c>
      <c r="M7" s="6">
        <f t="shared" si="10"/>
        <v>0</v>
      </c>
      <c r="N7" s="20">
        <f t="shared" si="11"/>
        <v>0</v>
      </c>
      <c r="O7" s="249">
        <f t="shared" si="12"/>
        <v>0</v>
      </c>
      <c r="P7" s="250">
        <f t="shared" si="13"/>
        <v>0</v>
      </c>
      <c r="Q7" s="326">
        <f t="shared" si="14"/>
        <v>0</v>
      </c>
      <c r="R7" s="328">
        <f t="shared" si="15"/>
        <v>0</v>
      </c>
      <c r="S7" s="6">
        <f t="shared" si="16"/>
        <v>0</v>
      </c>
      <c r="T7" s="5">
        <f t="shared" si="17"/>
        <v>0</v>
      </c>
      <c r="U7" s="6">
        <f t="shared" si="18"/>
        <v>0</v>
      </c>
      <c r="V7" s="6">
        <f t="shared" si="19"/>
        <v>0</v>
      </c>
      <c r="W7" s="21">
        <f t="shared" si="20"/>
        <v>0</v>
      </c>
      <c r="X7" s="5">
        <f t="shared" si="21"/>
        <v>0</v>
      </c>
      <c r="Y7" s="5">
        <f t="shared" si="22"/>
        <v>0</v>
      </c>
      <c r="Z7" s="5">
        <f t="shared" si="23"/>
        <v>0</v>
      </c>
      <c r="AA7" s="5">
        <f t="shared" si="24"/>
        <v>0</v>
      </c>
      <c r="AB7" s="5">
        <f t="shared" si="25"/>
        <v>0</v>
      </c>
      <c r="AC7" s="5">
        <f t="shared" si="26"/>
        <v>0</v>
      </c>
      <c r="AD7" s="6">
        <f t="shared" si="27"/>
        <v>0</v>
      </c>
      <c r="AE7" s="5">
        <f t="shared" si="28"/>
        <v>0</v>
      </c>
      <c r="AF7" s="5">
        <f t="shared" si="29"/>
        <v>0</v>
      </c>
      <c r="AG7" s="20">
        <f t="shared" si="30"/>
        <v>0</v>
      </c>
      <c r="AH7" s="21">
        <f t="shared" si="31"/>
        <v>0</v>
      </c>
      <c r="AI7" s="6">
        <f t="shared" si="32"/>
        <v>0</v>
      </c>
      <c r="AJ7" s="5">
        <f t="shared" si="33"/>
        <v>0</v>
      </c>
      <c r="AK7" s="6">
        <f t="shared" si="34"/>
        <v>0</v>
      </c>
      <c r="AL7" s="5">
        <f t="shared" si="35"/>
        <v>0</v>
      </c>
      <c r="AM7" s="6">
        <f t="shared" si="36"/>
        <v>0</v>
      </c>
      <c r="AN7" s="5">
        <f t="shared" si="37"/>
        <v>0</v>
      </c>
      <c r="AO7" s="6">
        <f t="shared" si="38"/>
        <v>0</v>
      </c>
      <c r="AP7" s="24">
        <f t="shared" si="39"/>
        <v>0</v>
      </c>
      <c r="AQ7" s="6">
        <f t="shared" si="40"/>
        <v>0</v>
      </c>
      <c r="AR7" s="196">
        <f t="shared" si="41"/>
        <v>0</v>
      </c>
      <c r="AS7" s="21">
        <f t="shared" si="42"/>
        <v>0</v>
      </c>
      <c r="AT7" s="208">
        <f t="shared" si="43"/>
        <v>0</v>
      </c>
      <c r="AU7" s="196">
        <f t="shared" si="44"/>
        <v>0</v>
      </c>
      <c r="AV7" s="6">
        <f t="shared" si="45"/>
        <v>0</v>
      </c>
      <c r="AW7" s="5">
        <f t="shared" si="46"/>
        <v>0</v>
      </c>
      <c r="AX7" s="21">
        <f t="shared" si="47"/>
        <v>0</v>
      </c>
      <c r="AY7" s="326">
        <f t="shared" si="48"/>
        <v>0</v>
      </c>
      <c r="AZ7" s="328">
        <f t="shared" si="49"/>
        <v>0</v>
      </c>
      <c r="BA7" s="326">
        <f t="shared" si="50"/>
        <v>0</v>
      </c>
      <c r="BB7" s="326">
        <f t="shared" si="51"/>
        <v>0</v>
      </c>
      <c r="BC7" s="318">
        <f t="shared" si="52"/>
        <v>0</v>
      </c>
      <c r="BD7" s="2">
        <f t="shared" si="53"/>
        <v>0</v>
      </c>
      <c r="BE7" s="5">
        <f t="shared" si="54"/>
        <v>0</v>
      </c>
      <c r="BF7" s="5">
        <f t="shared" si="55"/>
        <v>0</v>
      </c>
      <c r="BG7" s="5">
        <f t="shared" si="56"/>
        <v>0</v>
      </c>
      <c r="BH7" s="2">
        <f t="shared" si="57"/>
        <v>0</v>
      </c>
      <c r="BI7" s="5">
        <f t="shared" si="58"/>
        <v>0</v>
      </c>
      <c r="BJ7" s="5">
        <f t="shared" si="59"/>
        <v>6</v>
      </c>
      <c r="BK7" s="298"/>
      <c r="BL7" s="294"/>
      <c r="BM7" s="294"/>
      <c r="BN7" s="294"/>
      <c r="BO7" s="294"/>
      <c r="BP7" s="294"/>
      <c r="BQ7" s="294"/>
      <c r="BR7" s="294"/>
      <c r="BS7" s="294"/>
      <c r="BT7" s="294"/>
      <c r="BU7" s="294"/>
      <c r="BV7" s="294"/>
      <c r="BW7" s="294"/>
      <c r="BX7" s="294"/>
      <c r="BY7" s="294"/>
      <c r="BZ7" s="294"/>
      <c r="CA7" s="294"/>
      <c r="CB7" s="294"/>
      <c r="CC7" s="294"/>
      <c r="CD7" s="294"/>
      <c r="CE7" s="294"/>
      <c r="CF7" s="294"/>
      <c r="CG7" s="294"/>
      <c r="CH7" s="294"/>
      <c r="CI7" s="294"/>
      <c r="CJ7" s="294"/>
      <c r="CK7" s="294"/>
      <c r="CL7" s="294"/>
      <c r="CM7" s="294"/>
      <c r="CN7" s="294"/>
      <c r="CO7" s="294"/>
      <c r="CP7" s="294"/>
      <c r="CQ7" s="294"/>
      <c r="CR7" s="294"/>
      <c r="CS7" s="294"/>
      <c r="CT7" s="294"/>
      <c r="CU7" s="294"/>
      <c r="CV7" s="299"/>
      <c r="CW7" s="225"/>
    </row>
    <row r="8" spans="1:115" ht="30" customHeight="1" thickBot="1" x14ac:dyDescent="0.3">
      <c r="A8" s="253" t="str">
        <f t="shared" si="0"/>
        <v>Sem Jogador Adicionado</v>
      </c>
      <c r="B8" s="252" t="str">
        <f t="shared" si="60"/>
        <v>VAZIO</v>
      </c>
      <c r="C8" s="251">
        <f t="shared" si="1"/>
        <v>0</v>
      </c>
      <c r="D8" s="251">
        <f t="shared" si="61"/>
        <v>0</v>
      </c>
      <c r="E8" s="5">
        <f t="shared" si="2"/>
        <v>0</v>
      </c>
      <c r="F8" s="24">
        <f t="shared" si="3"/>
        <v>0</v>
      </c>
      <c r="G8" s="24">
        <f t="shared" si="4"/>
        <v>0</v>
      </c>
      <c r="H8" s="5">
        <f t="shared" si="5"/>
        <v>0</v>
      </c>
      <c r="I8" s="20">
        <f t="shared" si="6"/>
        <v>0</v>
      </c>
      <c r="J8" s="353">
        <f t="shared" si="7"/>
        <v>0</v>
      </c>
      <c r="K8" s="362">
        <f t="shared" si="8"/>
        <v>0</v>
      </c>
      <c r="L8" s="6">
        <f t="shared" si="9"/>
        <v>0</v>
      </c>
      <c r="M8" s="6">
        <f t="shared" si="10"/>
        <v>0</v>
      </c>
      <c r="N8" s="20">
        <f t="shared" si="11"/>
        <v>0</v>
      </c>
      <c r="O8" s="249">
        <f t="shared" si="12"/>
        <v>0</v>
      </c>
      <c r="P8" s="250">
        <f t="shared" si="13"/>
        <v>0</v>
      </c>
      <c r="Q8" s="326">
        <f t="shared" si="14"/>
        <v>0</v>
      </c>
      <c r="R8" s="328">
        <f t="shared" si="15"/>
        <v>0</v>
      </c>
      <c r="S8" s="6">
        <f t="shared" si="16"/>
        <v>0</v>
      </c>
      <c r="T8" s="5">
        <f t="shared" si="17"/>
        <v>0</v>
      </c>
      <c r="U8" s="6">
        <f t="shared" si="18"/>
        <v>0</v>
      </c>
      <c r="V8" s="6">
        <f t="shared" si="19"/>
        <v>0</v>
      </c>
      <c r="W8" s="21">
        <f t="shared" si="20"/>
        <v>0</v>
      </c>
      <c r="X8" s="5">
        <f t="shared" si="21"/>
        <v>0</v>
      </c>
      <c r="Y8" s="5">
        <f t="shared" si="22"/>
        <v>0</v>
      </c>
      <c r="Z8" s="5">
        <f t="shared" si="23"/>
        <v>0</v>
      </c>
      <c r="AA8" s="5">
        <f t="shared" si="24"/>
        <v>0</v>
      </c>
      <c r="AB8" s="5">
        <f t="shared" si="25"/>
        <v>0</v>
      </c>
      <c r="AC8" s="5">
        <f t="shared" si="26"/>
        <v>0</v>
      </c>
      <c r="AD8" s="6">
        <f t="shared" si="27"/>
        <v>0</v>
      </c>
      <c r="AE8" s="5">
        <f t="shared" si="28"/>
        <v>0</v>
      </c>
      <c r="AF8" s="5">
        <f t="shared" si="29"/>
        <v>0</v>
      </c>
      <c r="AG8" s="20">
        <f t="shared" si="30"/>
        <v>0</v>
      </c>
      <c r="AH8" s="21">
        <f t="shared" si="31"/>
        <v>0</v>
      </c>
      <c r="AI8" s="6">
        <f t="shared" si="32"/>
        <v>0</v>
      </c>
      <c r="AJ8" s="5">
        <f t="shared" si="33"/>
        <v>0</v>
      </c>
      <c r="AK8" s="6">
        <f t="shared" si="34"/>
        <v>0</v>
      </c>
      <c r="AL8" s="5">
        <f t="shared" si="35"/>
        <v>0</v>
      </c>
      <c r="AM8" s="6">
        <f t="shared" si="36"/>
        <v>0</v>
      </c>
      <c r="AN8" s="5">
        <f t="shared" si="37"/>
        <v>0</v>
      </c>
      <c r="AO8" s="6">
        <f t="shared" si="38"/>
        <v>0</v>
      </c>
      <c r="AP8" s="24">
        <f t="shared" si="39"/>
        <v>0</v>
      </c>
      <c r="AQ8" s="6">
        <f t="shared" si="40"/>
        <v>0</v>
      </c>
      <c r="AR8" s="196">
        <f t="shared" si="41"/>
        <v>0</v>
      </c>
      <c r="AS8" s="21">
        <f t="shared" si="42"/>
        <v>0</v>
      </c>
      <c r="AT8" s="208">
        <f t="shared" si="43"/>
        <v>0</v>
      </c>
      <c r="AU8" s="196">
        <f t="shared" si="44"/>
        <v>0</v>
      </c>
      <c r="AV8" s="6">
        <f t="shared" si="45"/>
        <v>0</v>
      </c>
      <c r="AW8" s="5">
        <f t="shared" si="46"/>
        <v>0</v>
      </c>
      <c r="AX8" s="21">
        <f t="shared" si="47"/>
        <v>0</v>
      </c>
      <c r="AY8" s="326">
        <f t="shared" si="48"/>
        <v>0</v>
      </c>
      <c r="AZ8" s="328">
        <f t="shared" si="49"/>
        <v>0</v>
      </c>
      <c r="BA8" s="326">
        <f t="shared" si="50"/>
        <v>0</v>
      </c>
      <c r="BB8" s="326">
        <f t="shared" si="51"/>
        <v>0</v>
      </c>
      <c r="BC8" s="318">
        <f t="shared" si="52"/>
        <v>0</v>
      </c>
      <c r="BD8" s="2">
        <f t="shared" si="53"/>
        <v>0</v>
      </c>
      <c r="BE8" s="5">
        <f t="shared" si="54"/>
        <v>0</v>
      </c>
      <c r="BF8" s="5">
        <f t="shared" si="55"/>
        <v>0</v>
      </c>
      <c r="BG8" s="5">
        <f t="shared" si="56"/>
        <v>0</v>
      </c>
      <c r="BH8" s="2">
        <f t="shared" si="57"/>
        <v>0</v>
      </c>
      <c r="BI8" s="5">
        <f t="shared" si="58"/>
        <v>0</v>
      </c>
      <c r="BJ8" s="5">
        <f t="shared" si="59"/>
        <v>6</v>
      </c>
      <c r="BK8" s="296"/>
      <c r="BL8" s="292"/>
      <c r="BM8" s="292"/>
      <c r="BN8" s="292"/>
      <c r="BO8" s="292"/>
      <c r="BP8" s="292"/>
      <c r="BQ8" s="292"/>
      <c r="BR8" s="292"/>
      <c r="BS8" s="292"/>
      <c r="BT8" s="292"/>
      <c r="BU8" s="292"/>
      <c r="BV8" s="292"/>
      <c r="BW8" s="292"/>
      <c r="BX8" s="292"/>
      <c r="BY8" s="292"/>
      <c r="BZ8" s="292"/>
      <c r="CA8" s="292"/>
      <c r="CB8" s="292"/>
      <c r="CC8" s="292"/>
      <c r="CD8" s="292"/>
      <c r="CE8" s="292"/>
      <c r="CF8" s="292"/>
      <c r="CG8" s="292"/>
      <c r="CH8" s="292"/>
      <c r="CI8" s="292"/>
      <c r="CJ8" s="292"/>
      <c r="CK8" s="292"/>
      <c r="CL8" s="292"/>
      <c r="CM8" s="292"/>
      <c r="CN8" s="292"/>
      <c r="CO8" s="292"/>
      <c r="CP8" s="292"/>
      <c r="CQ8" s="292"/>
      <c r="CR8" s="292"/>
      <c r="CS8" s="292"/>
      <c r="CT8" s="292"/>
      <c r="CU8" s="292"/>
      <c r="CV8" s="297"/>
      <c r="CW8" s="225"/>
    </row>
    <row r="9" spans="1:115" ht="30" customHeight="1" thickBot="1" x14ac:dyDescent="0.3">
      <c r="A9" s="253" t="str">
        <f t="shared" si="0"/>
        <v>Sem Jogador Adicionado</v>
      </c>
      <c r="B9" s="252" t="str">
        <f t="shared" si="60"/>
        <v>VAZIO</v>
      </c>
      <c r="C9" s="251">
        <f t="shared" si="1"/>
        <v>0</v>
      </c>
      <c r="D9" s="251">
        <f t="shared" si="61"/>
        <v>0</v>
      </c>
      <c r="E9" s="5">
        <f t="shared" si="2"/>
        <v>0</v>
      </c>
      <c r="F9" s="24">
        <f t="shared" si="3"/>
        <v>0</v>
      </c>
      <c r="G9" s="24">
        <f t="shared" si="4"/>
        <v>0</v>
      </c>
      <c r="H9" s="5">
        <f t="shared" si="5"/>
        <v>0</v>
      </c>
      <c r="I9" s="20">
        <f t="shared" si="6"/>
        <v>0</v>
      </c>
      <c r="J9" s="353">
        <f t="shared" si="7"/>
        <v>0</v>
      </c>
      <c r="K9" s="362">
        <f t="shared" si="8"/>
        <v>0</v>
      </c>
      <c r="L9" s="6">
        <f t="shared" si="9"/>
        <v>0</v>
      </c>
      <c r="M9" s="6">
        <f t="shared" si="10"/>
        <v>0</v>
      </c>
      <c r="N9" s="20">
        <f t="shared" si="11"/>
        <v>0</v>
      </c>
      <c r="O9" s="249">
        <f t="shared" si="12"/>
        <v>0</v>
      </c>
      <c r="P9" s="250">
        <f t="shared" si="13"/>
        <v>0</v>
      </c>
      <c r="Q9" s="326">
        <f t="shared" si="14"/>
        <v>0</v>
      </c>
      <c r="R9" s="328">
        <f t="shared" si="15"/>
        <v>0</v>
      </c>
      <c r="S9" s="6">
        <f t="shared" si="16"/>
        <v>0</v>
      </c>
      <c r="T9" s="5">
        <f t="shared" si="17"/>
        <v>0</v>
      </c>
      <c r="U9" s="6">
        <f t="shared" si="18"/>
        <v>0</v>
      </c>
      <c r="V9" s="6">
        <f t="shared" si="19"/>
        <v>0</v>
      </c>
      <c r="W9" s="21">
        <f t="shared" si="20"/>
        <v>0</v>
      </c>
      <c r="X9" s="5">
        <f t="shared" si="21"/>
        <v>0</v>
      </c>
      <c r="Y9" s="5">
        <f t="shared" si="22"/>
        <v>0</v>
      </c>
      <c r="Z9" s="5">
        <f t="shared" si="23"/>
        <v>0</v>
      </c>
      <c r="AA9" s="5">
        <f t="shared" si="24"/>
        <v>0</v>
      </c>
      <c r="AB9" s="5">
        <f t="shared" si="25"/>
        <v>0</v>
      </c>
      <c r="AC9" s="5">
        <f t="shared" si="26"/>
        <v>0</v>
      </c>
      <c r="AD9" s="6">
        <f t="shared" si="27"/>
        <v>0</v>
      </c>
      <c r="AE9" s="5">
        <f t="shared" si="28"/>
        <v>0</v>
      </c>
      <c r="AF9" s="5">
        <f t="shared" si="29"/>
        <v>0</v>
      </c>
      <c r="AG9" s="20">
        <f t="shared" si="30"/>
        <v>0</v>
      </c>
      <c r="AH9" s="21">
        <f t="shared" si="31"/>
        <v>0</v>
      </c>
      <c r="AI9" s="6">
        <f t="shared" si="32"/>
        <v>0</v>
      </c>
      <c r="AJ9" s="5">
        <f t="shared" si="33"/>
        <v>0</v>
      </c>
      <c r="AK9" s="6">
        <f t="shared" si="34"/>
        <v>0</v>
      </c>
      <c r="AL9" s="5">
        <f t="shared" si="35"/>
        <v>0</v>
      </c>
      <c r="AM9" s="6">
        <f t="shared" si="36"/>
        <v>0</v>
      </c>
      <c r="AN9" s="5">
        <f t="shared" si="37"/>
        <v>0</v>
      </c>
      <c r="AO9" s="6">
        <f t="shared" si="38"/>
        <v>0</v>
      </c>
      <c r="AP9" s="24">
        <f t="shared" si="39"/>
        <v>0</v>
      </c>
      <c r="AQ9" s="6">
        <f t="shared" si="40"/>
        <v>0</v>
      </c>
      <c r="AR9" s="196">
        <f t="shared" si="41"/>
        <v>0</v>
      </c>
      <c r="AS9" s="21">
        <f t="shared" si="42"/>
        <v>0</v>
      </c>
      <c r="AT9" s="208">
        <f t="shared" si="43"/>
        <v>0</v>
      </c>
      <c r="AU9" s="196">
        <f t="shared" si="44"/>
        <v>0</v>
      </c>
      <c r="AV9" s="6">
        <f t="shared" si="45"/>
        <v>0</v>
      </c>
      <c r="AW9" s="5">
        <f t="shared" si="46"/>
        <v>0</v>
      </c>
      <c r="AX9" s="21">
        <f t="shared" si="47"/>
        <v>0</v>
      </c>
      <c r="AY9" s="326">
        <f t="shared" si="48"/>
        <v>0</v>
      </c>
      <c r="AZ9" s="328">
        <f t="shared" si="49"/>
        <v>0</v>
      </c>
      <c r="BA9" s="326">
        <f t="shared" si="50"/>
        <v>0</v>
      </c>
      <c r="BB9" s="326">
        <f t="shared" si="51"/>
        <v>0</v>
      </c>
      <c r="BC9" s="318">
        <f t="shared" si="52"/>
        <v>0</v>
      </c>
      <c r="BD9" s="2">
        <f t="shared" si="53"/>
        <v>0</v>
      </c>
      <c r="BE9" s="5">
        <f t="shared" si="54"/>
        <v>0</v>
      </c>
      <c r="BF9" s="5">
        <f t="shared" si="55"/>
        <v>0</v>
      </c>
      <c r="BG9" s="5">
        <f t="shared" si="56"/>
        <v>0</v>
      </c>
      <c r="BH9" s="2">
        <f t="shared" si="57"/>
        <v>0</v>
      </c>
      <c r="BI9" s="5">
        <f t="shared" si="58"/>
        <v>0</v>
      </c>
      <c r="BJ9" s="5">
        <f t="shared" si="59"/>
        <v>6</v>
      </c>
      <c r="BK9" s="298"/>
      <c r="BL9" s="294"/>
      <c r="BM9" s="294"/>
      <c r="BN9" s="294"/>
      <c r="BO9" s="294"/>
      <c r="BP9" s="294"/>
      <c r="BQ9" s="294"/>
      <c r="BR9" s="294"/>
      <c r="BS9" s="294"/>
      <c r="BT9" s="294"/>
      <c r="BU9" s="294"/>
      <c r="BV9" s="294"/>
      <c r="BW9" s="294"/>
      <c r="BX9" s="294"/>
      <c r="BY9" s="294"/>
      <c r="BZ9" s="294"/>
      <c r="CA9" s="294"/>
      <c r="CB9" s="294"/>
      <c r="CC9" s="294"/>
      <c r="CD9" s="294"/>
      <c r="CE9" s="294"/>
      <c r="CF9" s="294"/>
      <c r="CG9" s="294"/>
      <c r="CH9" s="294"/>
      <c r="CI9" s="294"/>
      <c r="CJ9" s="294"/>
      <c r="CK9" s="294"/>
      <c r="CL9" s="294"/>
      <c r="CM9" s="294"/>
      <c r="CN9" s="294"/>
      <c r="CO9" s="294"/>
      <c r="CP9" s="294"/>
      <c r="CQ9" s="294"/>
      <c r="CR9" s="294"/>
      <c r="CS9" s="294"/>
      <c r="CT9" s="294"/>
      <c r="CU9" s="294"/>
      <c r="CV9" s="299"/>
      <c r="CW9" s="225"/>
    </row>
    <row r="10" spans="1:115" ht="30" customHeight="1" thickBot="1" x14ac:dyDescent="0.3">
      <c r="A10" s="253" t="str">
        <f t="shared" si="0"/>
        <v>Sem Jogador Adicionado</v>
      </c>
      <c r="B10" s="252" t="str">
        <f t="shared" si="60"/>
        <v>VAZIO</v>
      </c>
      <c r="C10" s="251">
        <f t="shared" si="1"/>
        <v>0</v>
      </c>
      <c r="D10" s="251">
        <f t="shared" si="61"/>
        <v>0</v>
      </c>
      <c r="E10" s="5">
        <f t="shared" si="2"/>
        <v>0</v>
      </c>
      <c r="F10" s="24">
        <f t="shared" si="3"/>
        <v>0</v>
      </c>
      <c r="G10" s="24">
        <f t="shared" si="4"/>
        <v>0</v>
      </c>
      <c r="H10" s="5">
        <f t="shared" si="5"/>
        <v>0</v>
      </c>
      <c r="I10" s="20">
        <f t="shared" si="6"/>
        <v>0</v>
      </c>
      <c r="J10" s="353">
        <f t="shared" si="7"/>
        <v>0</v>
      </c>
      <c r="K10" s="362">
        <f t="shared" si="8"/>
        <v>0</v>
      </c>
      <c r="L10" s="6">
        <f t="shared" si="9"/>
        <v>0</v>
      </c>
      <c r="M10" s="6">
        <f t="shared" si="10"/>
        <v>0</v>
      </c>
      <c r="N10" s="20">
        <f t="shared" si="11"/>
        <v>0</v>
      </c>
      <c r="O10" s="249">
        <f t="shared" si="12"/>
        <v>0</v>
      </c>
      <c r="P10" s="250">
        <f t="shared" si="13"/>
        <v>0</v>
      </c>
      <c r="Q10" s="326">
        <f t="shared" si="14"/>
        <v>0</v>
      </c>
      <c r="R10" s="328">
        <f t="shared" si="15"/>
        <v>0</v>
      </c>
      <c r="S10" s="6">
        <f t="shared" si="16"/>
        <v>0</v>
      </c>
      <c r="T10" s="5">
        <f t="shared" si="17"/>
        <v>0</v>
      </c>
      <c r="U10" s="6">
        <f t="shared" si="18"/>
        <v>0</v>
      </c>
      <c r="V10" s="6">
        <f t="shared" si="19"/>
        <v>0</v>
      </c>
      <c r="W10" s="21">
        <f t="shared" si="20"/>
        <v>0</v>
      </c>
      <c r="X10" s="5">
        <f t="shared" si="21"/>
        <v>0</v>
      </c>
      <c r="Y10" s="5">
        <f t="shared" si="22"/>
        <v>0</v>
      </c>
      <c r="Z10" s="5">
        <f t="shared" si="23"/>
        <v>0</v>
      </c>
      <c r="AA10" s="5">
        <f t="shared" si="24"/>
        <v>0</v>
      </c>
      <c r="AB10" s="5">
        <f t="shared" si="25"/>
        <v>0</v>
      </c>
      <c r="AC10" s="5">
        <f t="shared" si="26"/>
        <v>0</v>
      </c>
      <c r="AD10" s="6">
        <f t="shared" si="27"/>
        <v>0</v>
      </c>
      <c r="AE10" s="5">
        <f t="shared" si="28"/>
        <v>0</v>
      </c>
      <c r="AF10" s="5">
        <f t="shared" si="29"/>
        <v>0</v>
      </c>
      <c r="AG10" s="20">
        <f t="shared" si="30"/>
        <v>0</v>
      </c>
      <c r="AH10" s="21">
        <f t="shared" si="31"/>
        <v>0</v>
      </c>
      <c r="AI10" s="6">
        <f t="shared" si="32"/>
        <v>0</v>
      </c>
      <c r="AJ10" s="5">
        <f t="shared" si="33"/>
        <v>0</v>
      </c>
      <c r="AK10" s="6">
        <f t="shared" si="34"/>
        <v>0</v>
      </c>
      <c r="AL10" s="5">
        <f t="shared" si="35"/>
        <v>0</v>
      </c>
      <c r="AM10" s="6">
        <f t="shared" si="36"/>
        <v>0</v>
      </c>
      <c r="AN10" s="5">
        <f t="shared" si="37"/>
        <v>0</v>
      </c>
      <c r="AO10" s="6">
        <f t="shared" si="38"/>
        <v>0</v>
      </c>
      <c r="AP10" s="24">
        <f t="shared" si="39"/>
        <v>0</v>
      </c>
      <c r="AQ10" s="6">
        <f t="shared" si="40"/>
        <v>0</v>
      </c>
      <c r="AR10" s="196">
        <f t="shared" si="41"/>
        <v>0</v>
      </c>
      <c r="AS10" s="21">
        <f t="shared" si="42"/>
        <v>0</v>
      </c>
      <c r="AT10" s="208">
        <f t="shared" si="43"/>
        <v>0</v>
      </c>
      <c r="AU10" s="196">
        <f t="shared" si="44"/>
        <v>0</v>
      </c>
      <c r="AV10" s="6">
        <f t="shared" si="45"/>
        <v>0</v>
      </c>
      <c r="AW10" s="5">
        <f t="shared" si="46"/>
        <v>0</v>
      </c>
      <c r="AX10" s="21">
        <f t="shared" si="47"/>
        <v>0</v>
      </c>
      <c r="AY10" s="326">
        <f t="shared" si="48"/>
        <v>0</v>
      </c>
      <c r="AZ10" s="328">
        <f t="shared" si="49"/>
        <v>0</v>
      </c>
      <c r="BA10" s="326">
        <f t="shared" si="50"/>
        <v>0</v>
      </c>
      <c r="BB10" s="326">
        <f t="shared" si="51"/>
        <v>0</v>
      </c>
      <c r="BC10" s="318">
        <f t="shared" si="52"/>
        <v>0</v>
      </c>
      <c r="BD10" s="2">
        <f t="shared" si="53"/>
        <v>0</v>
      </c>
      <c r="BE10" s="5">
        <f t="shared" si="54"/>
        <v>0</v>
      </c>
      <c r="BF10" s="5">
        <f t="shared" si="55"/>
        <v>0</v>
      </c>
      <c r="BG10" s="5">
        <f t="shared" si="56"/>
        <v>0</v>
      </c>
      <c r="BH10" s="2">
        <f t="shared" si="57"/>
        <v>0</v>
      </c>
      <c r="BI10" s="5">
        <f t="shared" si="58"/>
        <v>0</v>
      </c>
      <c r="BJ10" s="5">
        <f t="shared" si="59"/>
        <v>6</v>
      </c>
      <c r="BK10" s="296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7"/>
      <c r="CW10" s="225"/>
    </row>
    <row r="11" spans="1:115" ht="30" customHeight="1" thickBot="1" x14ac:dyDescent="0.3">
      <c r="A11" s="253" t="str">
        <f t="shared" si="0"/>
        <v>Sem Jogador Adicionado</v>
      </c>
      <c r="B11" s="252" t="str">
        <f t="shared" si="60"/>
        <v>VAZIO</v>
      </c>
      <c r="C11" s="251">
        <f t="shared" si="1"/>
        <v>0</v>
      </c>
      <c r="D11" s="251">
        <f t="shared" si="61"/>
        <v>0</v>
      </c>
      <c r="E11" s="5">
        <f t="shared" si="2"/>
        <v>0</v>
      </c>
      <c r="F11" s="24">
        <f t="shared" si="3"/>
        <v>0</v>
      </c>
      <c r="G11" s="24">
        <f t="shared" si="4"/>
        <v>0</v>
      </c>
      <c r="H11" s="5">
        <f t="shared" si="5"/>
        <v>0</v>
      </c>
      <c r="I11" s="20">
        <f t="shared" si="6"/>
        <v>0</v>
      </c>
      <c r="J11" s="353">
        <f t="shared" si="7"/>
        <v>0</v>
      </c>
      <c r="K11" s="362">
        <f t="shared" si="8"/>
        <v>0</v>
      </c>
      <c r="L11" s="6">
        <f t="shared" si="9"/>
        <v>0</v>
      </c>
      <c r="M11" s="6">
        <f t="shared" si="10"/>
        <v>0</v>
      </c>
      <c r="N11" s="20">
        <f t="shared" si="11"/>
        <v>0</v>
      </c>
      <c r="O11" s="249">
        <f t="shared" si="12"/>
        <v>0</v>
      </c>
      <c r="P11" s="250">
        <f t="shared" si="13"/>
        <v>0</v>
      </c>
      <c r="Q11" s="326">
        <f t="shared" si="14"/>
        <v>0</v>
      </c>
      <c r="R11" s="328">
        <f t="shared" si="15"/>
        <v>0</v>
      </c>
      <c r="S11" s="6">
        <f t="shared" si="16"/>
        <v>0</v>
      </c>
      <c r="T11" s="5">
        <f t="shared" si="17"/>
        <v>0</v>
      </c>
      <c r="U11" s="6">
        <f t="shared" si="18"/>
        <v>0</v>
      </c>
      <c r="V11" s="6">
        <f t="shared" si="19"/>
        <v>0</v>
      </c>
      <c r="W11" s="21">
        <f t="shared" si="20"/>
        <v>0</v>
      </c>
      <c r="X11" s="5">
        <f t="shared" si="21"/>
        <v>0</v>
      </c>
      <c r="Y11" s="5">
        <f t="shared" si="22"/>
        <v>0</v>
      </c>
      <c r="Z11" s="5">
        <f t="shared" si="23"/>
        <v>0</v>
      </c>
      <c r="AA11" s="5">
        <f t="shared" si="24"/>
        <v>0</v>
      </c>
      <c r="AB11" s="5">
        <f t="shared" si="25"/>
        <v>0</v>
      </c>
      <c r="AC11" s="5">
        <f t="shared" si="26"/>
        <v>0</v>
      </c>
      <c r="AD11" s="6">
        <f t="shared" si="27"/>
        <v>0</v>
      </c>
      <c r="AE11" s="5">
        <f t="shared" si="28"/>
        <v>0</v>
      </c>
      <c r="AF11" s="5">
        <f t="shared" si="29"/>
        <v>0</v>
      </c>
      <c r="AG11" s="20">
        <f t="shared" si="30"/>
        <v>0</v>
      </c>
      <c r="AH11" s="21">
        <f t="shared" si="31"/>
        <v>0</v>
      </c>
      <c r="AI11" s="6">
        <f t="shared" si="32"/>
        <v>0</v>
      </c>
      <c r="AJ11" s="5">
        <f t="shared" si="33"/>
        <v>0</v>
      </c>
      <c r="AK11" s="6">
        <f t="shared" si="34"/>
        <v>0</v>
      </c>
      <c r="AL11" s="5">
        <f t="shared" si="35"/>
        <v>0</v>
      </c>
      <c r="AM11" s="6">
        <f t="shared" si="36"/>
        <v>0</v>
      </c>
      <c r="AN11" s="5">
        <f t="shared" si="37"/>
        <v>0</v>
      </c>
      <c r="AO11" s="6">
        <f t="shared" si="38"/>
        <v>0</v>
      </c>
      <c r="AP11" s="24">
        <f t="shared" si="39"/>
        <v>0</v>
      </c>
      <c r="AQ11" s="6">
        <f t="shared" si="40"/>
        <v>0</v>
      </c>
      <c r="AR11" s="196">
        <f t="shared" si="41"/>
        <v>0</v>
      </c>
      <c r="AS11" s="21">
        <f t="shared" si="42"/>
        <v>0</v>
      </c>
      <c r="AT11" s="208">
        <f t="shared" si="43"/>
        <v>0</v>
      </c>
      <c r="AU11" s="196">
        <f t="shared" si="44"/>
        <v>0</v>
      </c>
      <c r="AV11" s="6">
        <f t="shared" si="45"/>
        <v>0</v>
      </c>
      <c r="AW11" s="5">
        <f t="shared" si="46"/>
        <v>0</v>
      </c>
      <c r="AX11" s="21">
        <f t="shared" si="47"/>
        <v>0</v>
      </c>
      <c r="AY11" s="326">
        <f t="shared" si="48"/>
        <v>0</v>
      </c>
      <c r="AZ11" s="328">
        <f t="shared" si="49"/>
        <v>0</v>
      </c>
      <c r="BA11" s="326">
        <f t="shared" si="50"/>
        <v>0</v>
      </c>
      <c r="BB11" s="326">
        <f t="shared" si="51"/>
        <v>0</v>
      </c>
      <c r="BC11" s="318">
        <f t="shared" si="52"/>
        <v>0</v>
      </c>
      <c r="BD11" s="2">
        <f t="shared" si="53"/>
        <v>0</v>
      </c>
      <c r="BE11" s="5">
        <f t="shared" si="54"/>
        <v>0</v>
      </c>
      <c r="BF11" s="5">
        <f t="shared" si="55"/>
        <v>0</v>
      </c>
      <c r="BG11" s="5">
        <f t="shared" si="56"/>
        <v>0</v>
      </c>
      <c r="BH11" s="2">
        <f t="shared" si="57"/>
        <v>0</v>
      </c>
      <c r="BI11" s="5">
        <f t="shared" si="58"/>
        <v>0</v>
      </c>
      <c r="BJ11" s="5">
        <f t="shared" si="59"/>
        <v>6</v>
      </c>
      <c r="BK11" s="298"/>
      <c r="BL11" s="292"/>
      <c r="BM11" s="294"/>
      <c r="BN11" s="294"/>
      <c r="BO11" s="294"/>
      <c r="BP11" s="294"/>
      <c r="BQ11" s="294"/>
      <c r="BR11" s="294"/>
      <c r="BS11" s="294"/>
      <c r="BT11" s="294"/>
      <c r="BU11" s="294"/>
      <c r="BV11" s="294"/>
      <c r="BW11" s="294"/>
      <c r="BX11" s="294"/>
      <c r="BY11" s="294"/>
      <c r="BZ11" s="294"/>
      <c r="CA11" s="294"/>
      <c r="CB11" s="294"/>
      <c r="CC11" s="294"/>
      <c r="CD11" s="294"/>
      <c r="CE11" s="294"/>
      <c r="CF11" s="294"/>
      <c r="CG11" s="294"/>
      <c r="CH11" s="294"/>
      <c r="CI11" s="294"/>
      <c r="CJ11" s="294"/>
      <c r="CK11" s="294"/>
      <c r="CL11" s="294"/>
      <c r="CM11" s="294"/>
      <c r="CN11" s="294"/>
      <c r="CO11" s="294"/>
      <c r="CP11" s="294"/>
      <c r="CQ11" s="294"/>
      <c r="CR11" s="294"/>
      <c r="CS11" s="294"/>
      <c r="CT11" s="294"/>
      <c r="CU11" s="294"/>
      <c r="CV11" s="299"/>
      <c r="CW11" s="225"/>
    </row>
    <row r="12" spans="1:115" ht="30" customHeight="1" thickBot="1" x14ac:dyDescent="0.3">
      <c r="A12" s="253" t="str">
        <f t="shared" si="0"/>
        <v>Sem Jogador Adicionado</v>
      </c>
      <c r="B12" s="252" t="str">
        <f t="shared" si="60"/>
        <v>VAZIO</v>
      </c>
      <c r="C12" s="251">
        <f t="shared" si="1"/>
        <v>0</v>
      </c>
      <c r="D12" s="251">
        <f t="shared" si="61"/>
        <v>0</v>
      </c>
      <c r="E12" s="5">
        <f t="shared" si="2"/>
        <v>0</v>
      </c>
      <c r="F12" s="24">
        <f t="shared" si="3"/>
        <v>0</v>
      </c>
      <c r="G12" s="24">
        <f t="shared" si="4"/>
        <v>0</v>
      </c>
      <c r="H12" s="5">
        <f t="shared" si="5"/>
        <v>0</v>
      </c>
      <c r="I12" s="20">
        <f t="shared" si="6"/>
        <v>0</v>
      </c>
      <c r="J12" s="353">
        <f t="shared" si="7"/>
        <v>0</v>
      </c>
      <c r="K12" s="362">
        <f t="shared" si="8"/>
        <v>0</v>
      </c>
      <c r="L12" s="6">
        <f t="shared" si="9"/>
        <v>0</v>
      </c>
      <c r="M12" s="6">
        <f t="shared" si="10"/>
        <v>0</v>
      </c>
      <c r="N12" s="20">
        <f t="shared" si="11"/>
        <v>0</v>
      </c>
      <c r="O12" s="249">
        <f t="shared" si="12"/>
        <v>0</v>
      </c>
      <c r="P12" s="250">
        <f t="shared" si="13"/>
        <v>0</v>
      </c>
      <c r="Q12" s="326">
        <f t="shared" si="14"/>
        <v>0</v>
      </c>
      <c r="R12" s="328">
        <f t="shared" si="15"/>
        <v>0</v>
      </c>
      <c r="S12" s="6">
        <f t="shared" si="16"/>
        <v>0</v>
      </c>
      <c r="T12" s="5">
        <f t="shared" si="17"/>
        <v>0</v>
      </c>
      <c r="U12" s="6">
        <f t="shared" si="18"/>
        <v>0</v>
      </c>
      <c r="V12" s="6">
        <f t="shared" si="19"/>
        <v>0</v>
      </c>
      <c r="W12" s="21">
        <f t="shared" si="20"/>
        <v>0</v>
      </c>
      <c r="X12" s="5">
        <f t="shared" si="21"/>
        <v>0</v>
      </c>
      <c r="Y12" s="5">
        <f t="shared" si="22"/>
        <v>0</v>
      </c>
      <c r="Z12" s="5">
        <f t="shared" si="23"/>
        <v>0</v>
      </c>
      <c r="AA12" s="5">
        <f t="shared" si="24"/>
        <v>0</v>
      </c>
      <c r="AB12" s="5">
        <f t="shared" si="25"/>
        <v>0</v>
      </c>
      <c r="AC12" s="5">
        <f t="shared" si="26"/>
        <v>0</v>
      </c>
      <c r="AD12" s="6">
        <f t="shared" si="27"/>
        <v>0</v>
      </c>
      <c r="AE12" s="5">
        <f t="shared" si="28"/>
        <v>0</v>
      </c>
      <c r="AF12" s="5">
        <f t="shared" si="29"/>
        <v>0</v>
      </c>
      <c r="AG12" s="20">
        <f t="shared" si="30"/>
        <v>0</v>
      </c>
      <c r="AH12" s="21">
        <f t="shared" si="31"/>
        <v>0</v>
      </c>
      <c r="AI12" s="6">
        <f t="shared" si="32"/>
        <v>0</v>
      </c>
      <c r="AJ12" s="5">
        <f t="shared" si="33"/>
        <v>0</v>
      </c>
      <c r="AK12" s="6">
        <f t="shared" si="34"/>
        <v>0</v>
      </c>
      <c r="AL12" s="5">
        <f t="shared" si="35"/>
        <v>0</v>
      </c>
      <c r="AM12" s="6">
        <f t="shared" si="36"/>
        <v>0</v>
      </c>
      <c r="AN12" s="5">
        <f t="shared" si="37"/>
        <v>0</v>
      </c>
      <c r="AO12" s="6">
        <f t="shared" si="38"/>
        <v>0</v>
      </c>
      <c r="AP12" s="24">
        <f t="shared" si="39"/>
        <v>0</v>
      </c>
      <c r="AQ12" s="6">
        <f t="shared" si="40"/>
        <v>0</v>
      </c>
      <c r="AR12" s="196">
        <f t="shared" si="41"/>
        <v>0</v>
      </c>
      <c r="AS12" s="21">
        <f t="shared" si="42"/>
        <v>0</v>
      </c>
      <c r="AT12" s="208">
        <f t="shared" si="43"/>
        <v>0</v>
      </c>
      <c r="AU12" s="196">
        <f t="shared" si="44"/>
        <v>0</v>
      </c>
      <c r="AV12" s="6">
        <f t="shared" si="45"/>
        <v>0</v>
      </c>
      <c r="AW12" s="5">
        <f t="shared" si="46"/>
        <v>0</v>
      </c>
      <c r="AX12" s="21">
        <f t="shared" si="47"/>
        <v>0</v>
      </c>
      <c r="AY12" s="326">
        <f t="shared" si="48"/>
        <v>0</v>
      </c>
      <c r="AZ12" s="328">
        <f t="shared" si="49"/>
        <v>0</v>
      </c>
      <c r="BA12" s="326">
        <f t="shared" si="50"/>
        <v>0</v>
      </c>
      <c r="BB12" s="326">
        <f t="shared" si="51"/>
        <v>0</v>
      </c>
      <c r="BC12" s="318">
        <f t="shared" si="52"/>
        <v>0</v>
      </c>
      <c r="BD12" s="2">
        <f t="shared" si="53"/>
        <v>0</v>
      </c>
      <c r="BE12" s="5">
        <f t="shared" si="54"/>
        <v>0</v>
      </c>
      <c r="BF12" s="5">
        <f t="shared" si="55"/>
        <v>0</v>
      </c>
      <c r="BG12" s="5">
        <f t="shared" si="56"/>
        <v>0</v>
      </c>
      <c r="BH12" s="2">
        <f t="shared" si="57"/>
        <v>0</v>
      </c>
      <c r="BI12" s="5">
        <f t="shared" si="58"/>
        <v>0</v>
      </c>
      <c r="BJ12" s="5">
        <f t="shared" si="59"/>
        <v>6</v>
      </c>
      <c r="BK12" s="296"/>
      <c r="BL12" s="292"/>
      <c r="BM12" s="292"/>
      <c r="BN12" s="292"/>
      <c r="BO12" s="292"/>
      <c r="BP12" s="292"/>
      <c r="BQ12" s="292"/>
      <c r="BR12" s="292"/>
      <c r="BS12" s="292"/>
      <c r="BT12" s="292"/>
      <c r="BU12" s="292"/>
      <c r="BV12" s="292"/>
      <c r="BW12" s="292"/>
      <c r="BX12" s="292"/>
      <c r="BY12" s="292"/>
      <c r="BZ12" s="292"/>
      <c r="CA12" s="292"/>
      <c r="CB12" s="292"/>
      <c r="CC12" s="292"/>
      <c r="CD12" s="292"/>
      <c r="CE12" s="292"/>
      <c r="CF12" s="292"/>
      <c r="CG12" s="292"/>
      <c r="CH12" s="292"/>
      <c r="CI12" s="292"/>
      <c r="CJ12" s="292"/>
      <c r="CK12" s="292"/>
      <c r="CL12" s="292"/>
      <c r="CM12" s="292"/>
      <c r="CN12" s="292"/>
      <c r="CO12" s="292"/>
      <c r="CP12" s="292"/>
      <c r="CQ12" s="292"/>
      <c r="CR12" s="292"/>
      <c r="CS12" s="292"/>
      <c r="CT12" s="292"/>
      <c r="CU12" s="292"/>
      <c r="CV12" s="297"/>
      <c r="CW12" s="225"/>
    </row>
    <row r="13" spans="1:115" ht="8.25" customHeight="1" thickBot="1" x14ac:dyDescent="0.3">
      <c r="A13" s="225"/>
      <c r="B13" s="225"/>
      <c r="C13" s="225"/>
      <c r="D13" s="225"/>
      <c r="E13" s="225"/>
      <c r="F13" s="225"/>
      <c r="G13" s="225"/>
      <c r="H13" s="225"/>
      <c r="I13" s="225"/>
      <c r="J13" s="267" t="s">
        <v>542</v>
      </c>
      <c r="K13" s="267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  <c r="CK13" s="225"/>
      <c r="CL13" s="225"/>
      <c r="CM13" s="225"/>
      <c r="CN13" s="225"/>
      <c r="CO13" s="225"/>
      <c r="CP13" s="225"/>
      <c r="CQ13" s="225"/>
      <c r="CR13" s="225"/>
      <c r="CS13" s="225"/>
      <c r="CT13" s="225"/>
      <c r="CU13" s="225"/>
      <c r="CV13" s="225"/>
      <c r="CW13" s="225"/>
    </row>
    <row r="14" spans="1:115" ht="24.95" customHeight="1" thickBot="1" x14ac:dyDescent="0.3">
      <c r="A14" s="403" t="s">
        <v>500</v>
      </c>
      <c r="B14" s="404"/>
      <c r="C14" s="248" t="s">
        <v>499</v>
      </c>
      <c r="D14" s="247">
        <f>IFERROR(AVERAGE(BN2:BN12),0)</f>
        <v>0</v>
      </c>
      <c r="E14" s="225"/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5"/>
      <c r="S14" s="225"/>
      <c r="T14" s="225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  <c r="CK14" s="225"/>
      <c r="CL14" s="225"/>
      <c r="CM14" s="225"/>
      <c r="CN14" s="225"/>
      <c r="CO14" s="225"/>
      <c r="CP14" s="225"/>
      <c r="CQ14" s="225"/>
      <c r="CR14" s="225"/>
      <c r="CS14" s="225"/>
      <c r="CT14" s="225"/>
      <c r="CU14" s="225"/>
      <c r="CV14" s="225"/>
      <c r="CW14" s="225"/>
    </row>
    <row r="15" spans="1:115" ht="40.5" customHeight="1" thickBot="1" x14ac:dyDescent="0.3">
      <c r="A15" s="242" t="s">
        <v>498</v>
      </c>
      <c r="B15" s="237">
        <f>SUM(F2:F12)</f>
        <v>0</v>
      </c>
      <c r="C15" s="246" t="s">
        <v>497</v>
      </c>
      <c r="D15" s="243">
        <f>SUM(AP2:AP12)</f>
        <v>0</v>
      </c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  <c r="CK15" s="225"/>
      <c r="CL15" s="225"/>
      <c r="CM15" s="225"/>
      <c r="CN15" s="225"/>
      <c r="CO15" s="225"/>
      <c r="CP15" s="225"/>
      <c r="CQ15" s="225"/>
      <c r="CR15" s="225"/>
      <c r="CS15" s="225"/>
      <c r="CT15" s="225"/>
      <c r="CU15" s="225"/>
      <c r="CV15" s="225"/>
      <c r="CW15" s="225"/>
    </row>
    <row r="16" spans="1:115" ht="31.5" customHeight="1" thickBot="1" x14ac:dyDescent="0.3">
      <c r="A16" s="242" t="s">
        <v>496</v>
      </c>
      <c r="B16" s="245">
        <f>SUM(G2:G12)</f>
        <v>0</v>
      </c>
      <c r="C16" s="244" t="s">
        <v>495</v>
      </c>
      <c r="D16" s="243">
        <f>SUM(AR2:AR12)</f>
        <v>0</v>
      </c>
      <c r="E16" s="233"/>
      <c r="F16" s="233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  <c r="CK16" s="225"/>
      <c r="CL16" s="225"/>
      <c r="CM16" s="225"/>
      <c r="CN16" s="225"/>
      <c r="CO16" s="225"/>
      <c r="CP16" s="225"/>
      <c r="CQ16" s="225"/>
      <c r="CR16" s="225"/>
      <c r="CS16" s="225"/>
      <c r="CT16" s="225"/>
      <c r="CU16" s="225"/>
      <c r="CV16" s="225"/>
      <c r="CW16" s="225"/>
    </row>
    <row r="17" spans="1:101" ht="24.95" customHeight="1" thickBot="1" x14ac:dyDescent="0.3">
      <c r="A17" s="242" t="s">
        <v>494</v>
      </c>
      <c r="B17" s="241">
        <f>IFERROR(B16/B15,0)</f>
        <v>0</v>
      </c>
      <c r="C17" s="231" t="s">
        <v>104</v>
      </c>
      <c r="D17" s="240">
        <f>IFERROR(SUM(AR2:AR12)/SUM(AP2:AP12),0)</f>
        <v>0</v>
      </c>
      <c r="E17" s="233"/>
      <c r="F17" s="233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225"/>
      <c r="S17" s="225"/>
      <c r="T17" s="225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  <c r="CK17" s="225"/>
      <c r="CL17" s="225"/>
      <c r="CM17" s="225"/>
      <c r="CN17" s="225"/>
      <c r="CO17" s="225"/>
      <c r="CP17" s="225"/>
      <c r="CQ17" s="225"/>
      <c r="CR17" s="225"/>
      <c r="CS17" s="225"/>
      <c r="CT17" s="225"/>
      <c r="CU17" s="225"/>
      <c r="CV17" s="225"/>
      <c r="CW17" s="225"/>
    </row>
    <row r="18" spans="1:101" ht="24.95" customHeight="1" thickBot="1" x14ac:dyDescent="0.3">
      <c r="A18" s="236" t="s">
        <v>327</v>
      </c>
      <c r="B18" s="239">
        <f>SUM(AE2:AE12)</f>
        <v>0</v>
      </c>
      <c r="C18" s="238" t="s">
        <v>105</v>
      </c>
      <c r="D18" s="237">
        <f>SUM(BE2:BE12)</f>
        <v>0</v>
      </c>
      <c r="E18" s="233"/>
      <c r="F18" s="233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225"/>
      <c r="S18" s="225"/>
      <c r="T18" s="225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  <c r="CK18" s="225"/>
      <c r="CL18" s="225"/>
      <c r="CM18" s="225"/>
      <c r="CN18" s="225"/>
      <c r="CO18" s="225"/>
      <c r="CP18" s="225"/>
      <c r="CQ18" s="225"/>
      <c r="CR18" s="225"/>
      <c r="CS18" s="225"/>
      <c r="CT18" s="225"/>
      <c r="CU18" s="225"/>
      <c r="CV18" s="225"/>
      <c r="CW18" s="225"/>
    </row>
    <row r="19" spans="1:101" ht="24.95" customHeight="1" thickBot="1" x14ac:dyDescent="0.3">
      <c r="A19" s="236" t="s">
        <v>493</v>
      </c>
      <c r="B19" s="235">
        <f>IFERROR(SUM(AF2:AF12)/SUM(AE2:AE12),0)</f>
        <v>0</v>
      </c>
      <c r="C19" s="232" t="s">
        <v>91</v>
      </c>
      <c r="D19" s="234">
        <f>SUM(BH2:BH12)</f>
        <v>0</v>
      </c>
      <c r="E19" s="233"/>
      <c r="F19" s="233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  <c r="CK19" s="225"/>
      <c r="CL19" s="225"/>
      <c r="CM19" s="225"/>
      <c r="CN19" s="225"/>
      <c r="CO19" s="225"/>
      <c r="CP19" s="225"/>
      <c r="CQ19" s="225"/>
      <c r="CR19" s="225"/>
      <c r="CS19" s="225"/>
      <c r="CT19" s="225"/>
      <c r="CU19" s="225"/>
      <c r="CV19" s="225"/>
      <c r="CW19" s="225"/>
    </row>
    <row r="20" spans="1:101" ht="24.95" customHeight="1" thickBot="1" x14ac:dyDescent="0.3">
      <c r="A20" s="229" t="s">
        <v>148</v>
      </c>
      <c r="B20" s="228">
        <f>SUM(AJ2:AJ12)</f>
        <v>0</v>
      </c>
      <c r="C20" s="232" t="s">
        <v>169</v>
      </c>
      <c r="D20" s="230">
        <f>SUM(BI2:BI12)</f>
        <v>0</v>
      </c>
      <c r="E20" s="233"/>
      <c r="F20" s="233"/>
      <c r="G20" s="225"/>
      <c r="H20" s="225"/>
      <c r="I20" s="225"/>
      <c r="J20" s="225"/>
      <c r="K20" s="225"/>
      <c r="L20" s="225"/>
      <c r="M20" s="225"/>
      <c r="N20" s="225"/>
      <c r="O20" s="225"/>
      <c r="P20" s="225"/>
      <c r="Q20" s="225"/>
      <c r="R20" s="225"/>
      <c r="S20" s="225"/>
      <c r="T20" s="225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225"/>
      <c r="AQ20" s="225"/>
      <c r="AR20" s="225"/>
      <c r="AS20" s="225"/>
      <c r="AT20" s="225"/>
      <c r="AU20" s="225"/>
      <c r="AV20" s="225"/>
      <c r="AW20" s="225"/>
      <c r="AX20" s="225"/>
      <c r="AY20" s="225"/>
      <c r="AZ20" s="225"/>
      <c r="BA20" s="225"/>
      <c r="BB20" s="225"/>
      <c r="BC20" s="225"/>
      <c r="BD20" s="225"/>
      <c r="BE20" s="225"/>
      <c r="BF20" s="225"/>
      <c r="BG20" s="225"/>
      <c r="BH20" s="225"/>
      <c r="BI20" s="225"/>
      <c r="BJ20" s="225"/>
      <c r="BK20" s="225"/>
      <c r="BL20" s="225"/>
      <c r="BM20" s="225"/>
      <c r="BN20" s="225"/>
      <c r="BO20" s="225"/>
      <c r="BP20" s="225"/>
      <c r="BQ20" s="225"/>
      <c r="BR20" s="225"/>
      <c r="BS20" s="225"/>
      <c r="BT20" s="225"/>
      <c r="BU20" s="225"/>
      <c r="BV20" s="225"/>
      <c r="BW20" s="225"/>
      <c r="BX20" s="225"/>
      <c r="BY20" s="225"/>
      <c r="BZ20" s="225"/>
      <c r="CA20" s="225"/>
      <c r="CB20" s="225"/>
      <c r="CC20" s="225"/>
      <c r="CD20" s="225"/>
      <c r="CE20" s="225"/>
      <c r="CF20" s="225"/>
      <c r="CG20" s="225"/>
      <c r="CH20" s="225"/>
      <c r="CI20" s="225"/>
      <c r="CJ20" s="225"/>
      <c r="CK20" s="225"/>
      <c r="CL20" s="225"/>
      <c r="CM20" s="225"/>
      <c r="CN20" s="225"/>
      <c r="CO20" s="225"/>
      <c r="CP20" s="225"/>
      <c r="CQ20" s="225"/>
      <c r="CR20" s="225"/>
      <c r="CS20" s="225"/>
      <c r="CT20" s="225"/>
      <c r="CU20" s="225"/>
      <c r="CV20" s="225"/>
      <c r="CW20" s="225"/>
    </row>
    <row r="21" spans="1:101" ht="33" customHeight="1" thickBot="1" x14ac:dyDescent="0.3">
      <c r="A21" s="229" t="s">
        <v>153</v>
      </c>
      <c r="B21" s="228">
        <f>SUM(AL2:AL12)</f>
        <v>0</v>
      </c>
      <c r="C21" s="231" t="s">
        <v>107</v>
      </c>
      <c r="D21" s="230">
        <f>SUM(AW2:AW12)</f>
        <v>0</v>
      </c>
      <c r="E21" s="225"/>
      <c r="F21" s="225"/>
      <c r="G21" s="225"/>
      <c r="H21" s="225"/>
      <c r="I21" s="225"/>
      <c r="J21" s="225"/>
      <c r="K21" s="225"/>
      <c r="L21" s="225"/>
      <c r="M21" s="225"/>
      <c r="N21" s="225"/>
      <c r="O21" s="225"/>
      <c r="P21" s="225"/>
      <c r="Q21" s="225"/>
      <c r="R21" s="225"/>
      <c r="S21" s="225"/>
      <c r="T21" s="225"/>
      <c r="U21" s="225"/>
      <c r="V21" s="225"/>
      <c r="W21" s="225"/>
      <c r="X21" s="225"/>
      <c r="Y21" s="225"/>
      <c r="Z21" s="225"/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  <c r="CK21" s="225"/>
      <c r="CL21" s="225"/>
      <c r="CM21" s="225"/>
      <c r="CN21" s="225"/>
      <c r="CO21" s="225"/>
      <c r="CP21" s="225"/>
      <c r="CQ21" s="225"/>
      <c r="CR21" s="225"/>
      <c r="CS21" s="225"/>
      <c r="CT21" s="225"/>
      <c r="CU21" s="225"/>
      <c r="CV21" s="225"/>
      <c r="CW21" s="225"/>
    </row>
    <row r="22" spans="1:101" ht="31.5" customHeight="1" thickBot="1" x14ac:dyDescent="0.3">
      <c r="A22" s="229" t="s">
        <v>492</v>
      </c>
      <c r="B22" s="228">
        <f>SUM(AJ3:AJ12)+(SUM(AL3:AL12))</f>
        <v>0</v>
      </c>
      <c r="C22" s="227" t="s">
        <v>491</v>
      </c>
      <c r="D22" s="226">
        <f>IFERROR(AVERAGE(E2:E12),0)</f>
        <v>0</v>
      </c>
      <c r="E22" s="225"/>
      <c r="F22" s="225"/>
      <c r="G22" s="225"/>
      <c r="H22" s="225"/>
      <c r="I22" s="225"/>
      <c r="J22" s="225"/>
      <c r="K22" s="225"/>
      <c r="L22" s="225"/>
      <c r="M22" s="225"/>
      <c r="N22" s="225"/>
      <c r="O22" s="225"/>
      <c r="P22" s="225"/>
      <c r="Q22" s="225"/>
      <c r="R22" s="225"/>
      <c r="S22" s="225"/>
      <c r="T22" s="225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  <c r="AY22" s="225"/>
      <c r="AZ22" s="225"/>
      <c r="BA22" s="225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  <c r="BM22" s="225"/>
      <c r="BN22" s="225"/>
      <c r="BO22" s="225"/>
      <c r="BP22" s="225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  <c r="CK22" s="225"/>
      <c r="CL22" s="225"/>
      <c r="CM22" s="225"/>
      <c r="CN22" s="225"/>
      <c r="CO22" s="225"/>
      <c r="CP22" s="225"/>
      <c r="CQ22" s="225"/>
      <c r="CR22" s="225"/>
      <c r="CS22" s="225"/>
      <c r="CT22" s="225"/>
      <c r="CU22" s="225"/>
      <c r="CV22" s="225"/>
      <c r="CW22" s="225"/>
    </row>
    <row r="23" spans="1:101" ht="31.5" customHeight="1" x14ac:dyDescent="0.25">
      <c r="A23" s="225"/>
      <c r="B23" s="225"/>
      <c r="C23" s="225"/>
      <c r="D23" s="225"/>
      <c r="E23" s="225"/>
      <c r="F23" s="225"/>
      <c r="G23" s="225"/>
      <c r="H23" s="225"/>
      <c r="I23" s="225"/>
      <c r="J23" s="225"/>
      <c r="K23" s="225"/>
      <c r="L23" s="225"/>
      <c r="M23" s="225"/>
      <c r="N23" s="225"/>
      <c r="O23" s="225"/>
      <c r="P23" s="225"/>
      <c r="Q23" s="225"/>
      <c r="R23" s="225"/>
      <c r="S23" s="225"/>
      <c r="T23" s="225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  <c r="CK23" s="225"/>
      <c r="CL23" s="225"/>
      <c r="CM23" s="225"/>
      <c r="CN23" s="225"/>
      <c r="CO23" s="225"/>
      <c r="CP23" s="225"/>
      <c r="CQ23" s="225"/>
      <c r="CR23" s="225"/>
      <c r="CS23" s="225"/>
      <c r="CT23" s="225"/>
      <c r="CU23" s="225"/>
      <c r="CV23" s="225"/>
      <c r="CW23" s="225"/>
    </row>
    <row r="24" spans="1:101" ht="31.5" customHeight="1" x14ac:dyDescent="0.25">
      <c r="A24" s="225"/>
      <c r="B24" s="225"/>
      <c r="C24" s="225"/>
      <c r="D24" s="225"/>
      <c r="E24" s="225"/>
      <c r="F24" s="225"/>
      <c r="G24" s="225"/>
      <c r="H24" s="225"/>
      <c r="I24" s="225"/>
      <c r="J24" s="225"/>
      <c r="K24" s="225"/>
      <c r="L24" s="225"/>
      <c r="M24" s="225"/>
      <c r="N24" s="225"/>
      <c r="O24" s="225"/>
      <c r="P24" s="225"/>
      <c r="Q24" s="225"/>
      <c r="R24" s="225"/>
      <c r="S24" s="225"/>
      <c r="T24" s="225"/>
      <c r="U24" s="225"/>
      <c r="V24" s="225"/>
      <c r="W24" s="225"/>
      <c r="X24" s="225"/>
      <c r="Y24" s="225"/>
      <c r="Z24" s="225"/>
      <c r="AA24" s="225"/>
      <c r="AB24" s="225"/>
      <c r="AC24" s="225"/>
      <c r="AD24" s="225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225"/>
      <c r="AQ24" s="225"/>
      <c r="AR24" s="225"/>
      <c r="AS24" s="225"/>
      <c r="AT24" s="225"/>
      <c r="AU24" s="225"/>
      <c r="AV24" s="225"/>
      <c r="AW24" s="225"/>
      <c r="AX24" s="225"/>
      <c r="AY24" s="225"/>
      <c r="AZ24" s="225"/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225"/>
      <c r="BW24" s="225"/>
      <c r="BX24" s="225"/>
      <c r="BY24" s="225"/>
      <c r="BZ24" s="225"/>
      <c r="CA24" s="225"/>
      <c r="CB24" s="225"/>
      <c r="CC24" s="225"/>
      <c r="CD24" s="225"/>
      <c r="CE24" s="225"/>
      <c r="CF24" s="225"/>
      <c r="CG24" s="225"/>
      <c r="CH24" s="225"/>
      <c r="CI24" s="225"/>
      <c r="CJ24" s="225"/>
      <c r="CK24" s="225"/>
      <c r="CL24" s="225"/>
      <c r="CM24" s="225"/>
      <c r="CN24" s="225"/>
      <c r="CO24" s="225"/>
      <c r="CP24" s="225"/>
      <c r="CQ24" s="225"/>
      <c r="CR24" s="225"/>
      <c r="CS24" s="225"/>
      <c r="CT24" s="225"/>
      <c r="CU24" s="225"/>
      <c r="CV24" s="225"/>
      <c r="CW24" s="225"/>
    </row>
    <row r="25" spans="1:101" ht="31.5" customHeight="1" x14ac:dyDescent="0.25">
      <c r="A25" s="225"/>
      <c r="B25" s="225"/>
      <c r="C25" s="225"/>
      <c r="D25" s="225"/>
      <c r="E25" s="225"/>
      <c r="F25" s="225"/>
      <c r="G25" s="225"/>
      <c r="H25" s="225"/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  <c r="CK25" s="225"/>
      <c r="CL25" s="225"/>
      <c r="CM25" s="225"/>
      <c r="CN25" s="225"/>
      <c r="CO25" s="225"/>
      <c r="CP25" s="225"/>
      <c r="CQ25" s="225"/>
      <c r="CR25" s="225"/>
      <c r="CS25" s="225"/>
      <c r="CT25" s="225"/>
      <c r="CU25" s="225"/>
      <c r="CV25" s="225"/>
      <c r="CW25" s="225"/>
    </row>
    <row r="26" spans="1:101" ht="31.5" customHeight="1" x14ac:dyDescent="0.25">
      <c r="A26" s="225"/>
      <c r="B26" s="225"/>
      <c r="C26" s="225"/>
      <c r="D26" s="225"/>
      <c r="E26" s="225"/>
      <c r="F26" s="225"/>
      <c r="G26" s="225"/>
      <c r="H26" s="225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  <c r="CK26" s="225"/>
      <c r="CL26" s="225"/>
      <c r="CM26" s="225"/>
      <c r="CN26" s="225"/>
      <c r="CO26" s="225"/>
      <c r="CP26" s="225"/>
      <c r="CQ26" s="225"/>
      <c r="CR26" s="225"/>
      <c r="CS26" s="225"/>
      <c r="CT26" s="225"/>
      <c r="CU26" s="225"/>
      <c r="CV26" s="225"/>
      <c r="CW26" s="225"/>
    </row>
    <row r="27" spans="1:101" ht="31.5" customHeight="1" x14ac:dyDescent="0.25">
      <c r="A27" s="225"/>
      <c r="B27" s="225"/>
      <c r="C27" s="225"/>
      <c r="D27" s="225"/>
      <c r="E27" s="225"/>
      <c r="F27" s="225"/>
      <c r="G27" s="225"/>
      <c r="H27" s="225"/>
      <c r="I27" s="225"/>
      <c r="J27" s="225"/>
      <c r="K27" s="225"/>
      <c r="L27" s="225"/>
      <c r="M27" s="225"/>
      <c r="N27" s="225"/>
      <c r="O27" s="225"/>
      <c r="P27" s="225"/>
      <c r="Q27" s="225"/>
      <c r="R27" s="225"/>
      <c r="S27" s="225"/>
      <c r="T27" s="225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  <c r="AY27" s="225"/>
      <c r="AZ27" s="225"/>
      <c r="BA27" s="225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  <c r="BM27" s="225"/>
      <c r="BN27" s="225"/>
      <c r="BO27" s="225"/>
      <c r="BP27" s="225"/>
      <c r="BQ27" s="225"/>
      <c r="BR27" s="225"/>
      <c r="BS27" s="225"/>
      <c r="BT27" s="225"/>
      <c r="BU27" s="225"/>
      <c r="BV27" s="225"/>
      <c r="BW27" s="225"/>
      <c r="BX27" s="225"/>
      <c r="BY27" s="225"/>
      <c r="BZ27" s="225"/>
      <c r="CA27" s="225"/>
      <c r="CB27" s="225"/>
      <c r="CC27" s="225"/>
      <c r="CD27" s="225"/>
      <c r="CE27" s="225"/>
      <c r="CF27" s="225"/>
      <c r="CG27" s="225"/>
      <c r="CH27" s="225"/>
      <c r="CI27" s="225"/>
      <c r="CJ27" s="225"/>
      <c r="CK27" s="225"/>
      <c r="CL27" s="225"/>
      <c r="CM27" s="225"/>
      <c r="CN27" s="225"/>
      <c r="CO27" s="225"/>
      <c r="CP27" s="225"/>
      <c r="CQ27" s="225"/>
      <c r="CR27" s="225"/>
      <c r="CS27" s="225"/>
      <c r="CT27" s="225"/>
      <c r="CU27" s="225"/>
      <c r="CV27" s="225"/>
      <c r="CW27" s="225"/>
    </row>
    <row r="28" spans="1:101" ht="31.5" customHeight="1" x14ac:dyDescent="0.25">
      <c r="A28" s="225"/>
      <c r="B28" s="225"/>
      <c r="C28" s="225"/>
      <c r="D28" s="225"/>
      <c r="E28" s="225"/>
      <c r="F28" s="225"/>
      <c r="G28" s="225"/>
      <c r="H28" s="225"/>
      <c r="I28" s="225"/>
      <c r="J28" s="225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  <c r="CK28" s="225"/>
      <c r="CL28" s="225"/>
      <c r="CM28" s="225"/>
      <c r="CN28" s="225"/>
      <c r="CO28" s="225"/>
      <c r="CP28" s="225"/>
      <c r="CQ28" s="225"/>
      <c r="CR28" s="225"/>
      <c r="CS28" s="225"/>
      <c r="CT28" s="225"/>
      <c r="CU28" s="225"/>
      <c r="CV28" s="225"/>
      <c r="CW28" s="225"/>
    </row>
    <row r="29" spans="1:101" ht="31.5" customHeight="1" x14ac:dyDescent="0.25">
      <c r="A29" s="225"/>
      <c r="B29" s="225"/>
      <c r="C29" s="225"/>
      <c r="D29" s="225"/>
      <c r="E29" s="225"/>
      <c r="F29" s="225"/>
      <c r="G29" s="225"/>
      <c r="H29" s="225"/>
      <c r="I29" s="225"/>
      <c r="J29" s="225"/>
      <c r="K29" s="225"/>
      <c r="L29" s="225"/>
      <c r="M29" s="225"/>
      <c r="N29" s="225"/>
      <c r="O29" s="225"/>
      <c r="P29" s="225"/>
      <c r="Q29" s="225"/>
      <c r="R29" s="225"/>
      <c r="S29" s="225"/>
      <c r="T29" s="225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  <c r="AT29" s="225"/>
      <c r="AU29" s="225"/>
      <c r="AV29" s="225"/>
      <c r="AW29" s="225"/>
      <c r="AX29" s="225"/>
      <c r="AY29" s="225"/>
      <c r="AZ29" s="225"/>
      <c r="BA29" s="225"/>
      <c r="BB29" s="225"/>
      <c r="BC29" s="225"/>
      <c r="BD29" s="225"/>
      <c r="BE29" s="225"/>
      <c r="BF29" s="225"/>
      <c r="BG29" s="225"/>
      <c r="BH29" s="225"/>
      <c r="BI29" s="225"/>
      <c r="BJ29" s="225"/>
      <c r="BK29" s="225"/>
      <c r="BL29" s="225"/>
      <c r="BM29" s="225"/>
      <c r="BN29" s="225"/>
      <c r="BO29" s="225"/>
      <c r="BP29" s="225"/>
      <c r="BQ29" s="225"/>
      <c r="BR29" s="225"/>
      <c r="BS29" s="225"/>
      <c r="BT29" s="225"/>
      <c r="BU29" s="225"/>
      <c r="BV29" s="225"/>
      <c r="BW29" s="225"/>
      <c r="BX29" s="225"/>
      <c r="BY29" s="225"/>
      <c r="BZ29" s="225"/>
      <c r="CA29" s="225"/>
      <c r="CB29" s="225"/>
      <c r="CC29" s="225"/>
      <c r="CD29" s="225"/>
      <c r="CE29" s="225"/>
      <c r="CF29" s="225"/>
      <c r="CG29" s="225"/>
      <c r="CH29" s="225"/>
      <c r="CI29" s="225"/>
      <c r="CJ29" s="225"/>
      <c r="CK29" s="225"/>
      <c r="CL29" s="225"/>
      <c r="CM29" s="225"/>
      <c r="CN29" s="225"/>
      <c r="CO29" s="225"/>
      <c r="CP29" s="225"/>
      <c r="CQ29" s="225"/>
      <c r="CR29" s="225"/>
      <c r="CS29" s="225"/>
      <c r="CT29" s="225"/>
      <c r="CU29" s="225"/>
      <c r="CV29" s="225"/>
      <c r="CW29" s="225"/>
    </row>
    <row r="30" spans="1:101" ht="31.5" customHeight="1" x14ac:dyDescent="0.25">
      <c r="A30" s="225"/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225"/>
      <c r="AQ30" s="225"/>
      <c r="AR30" s="225"/>
      <c r="AS30" s="225"/>
      <c r="AT30" s="225"/>
      <c r="AU30" s="225"/>
      <c r="AV30" s="225"/>
      <c r="AW30" s="225"/>
      <c r="AX30" s="225"/>
      <c r="AY30" s="225"/>
      <c r="AZ30" s="225"/>
      <c r="BA30" s="225"/>
      <c r="BB30" s="225"/>
      <c r="BC30" s="225"/>
      <c r="BD30" s="225"/>
      <c r="BE30" s="225"/>
      <c r="BF30" s="225"/>
      <c r="BG30" s="225"/>
      <c r="BH30" s="225"/>
      <c r="BI30" s="225"/>
      <c r="BJ30" s="225"/>
      <c r="BK30" s="225"/>
      <c r="BL30" s="225"/>
      <c r="BM30" s="225"/>
      <c r="BN30" s="225"/>
      <c r="BO30" s="225"/>
      <c r="BP30" s="225"/>
      <c r="BQ30" s="225"/>
      <c r="BR30" s="225"/>
      <c r="BS30" s="225"/>
      <c r="BT30" s="225"/>
      <c r="BU30" s="225"/>
      <c r="BV30" s="225"/>
      <c r="BW30" s="225"/>
      <c r="BX30" s="225"/>
      <c r="BY30" s="225"/>
      <c r="BZ30" s="225"/>
      <c r="CA30" s="225"/>
      <c r="CB30" s="225"/>
      <c r="CC30" s="225"/>
      <c r="CD30" s="225"/>
      <c r="CE30" s="225"/>
      <c r="CF30" s="225"/>
      <c r="CG30" s="225"/>
      <c r="CH30" s="225"/>
      <c r="CI30" s="225"/>
      <c r="CJ30" s="225"/>
      <c r="CK30" s="225"/>
      <c r="CL30" s="225"/>
      <c r="CM30" s="225"/>
      <c r="CN30" s="225"/>
      <c r="CO30" s="225"/>
      <c r="CP30" s="225"/>
      <c r="CQ30" s="225"/>
      <c r="CR30" s="225"/>
      <c r="CS30" s="225"/>
      <c r="CT30" s="225"/>
      <c r="CU30" s="225"/>
      <c r="CV30" s="225"/>
      <c r="CW30" s="225"/>
    </row>
    <row r="31" spans="1:101" ht="31.5" customHeight="1" x14ac:dyDescent="0.25">
      <c r="A31" s="225"/>
      <c r="B31" s="225"/>
      <c r="C31" s="225"/>
      <c r="D31" s="225"/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225"/>
      <c r="AJ31" s="225"/>
      <c r="AK31" s="225"/>
      <c r="AL31" s="225"/>
      <c r="AM31" s="225"/>
      <c r="AN31" s="225"/>
      <c r="AO31" s="225"/>
      <c r="AP31" s="225"/>
      <c r="AQ31" s="225"/>
      <c r="AR31" s="225"/>
      <c r="AS31" s="225"/>
      <c r="AT31" s="225"/>
      <c r="AU31" s="225"/>
      <c r="AV31" s="225"/>
      <c r="AW31" s="225"/>
      <c r="AX31" s="225"/>
      <c r="AY31" s="225"/>
      <c r="AZ31" s="225"/>
      <c r="BA31" s="225"/>
      <c r="BB31" s="225"/>
      <c r="BC31" s="225"/>
      <c r="BD31" s="225"/>
      <c r="BE31" s="225"/>
      <c r="BF31" s="225"/>
      <c r="BG31" s="225"/>
      <c r="BH31" s="225"/>
      <c r="BI31" s="225"/>
      <c r="BJ31" s="225"/>
      <c r="BK31" s="225"/>
      <c r="BL31" s="225"/>
      <c r="BM31" s="225"/>
      <c r="BN31" s="225"/>
      <c r="BO31" s="225"/>
      <c r="BP31" s="225"/>
      <c r="BQ31" s="225"/>
      <c r="BR31" s="225"/>
      <c r="BS31" s="225"/>
      <c r="BT31" s="225"/>
      <c r="BU31" s="225"/>
      <c r="BV31" s="225"/>
      <c r="BW31" s="225"/>
      <c r="BX31" s="225"/>
      <c r="BY31" s="225"/>
      <c r="BZ31" s="225"/>
      <c r="CA31" s="225"/>
      <c r="CB31" s="225"/>
      <c r="CC31" s="225"/>
      <c r="CD31" s="225"/>
      <c r="CE31" s="225"/>
      <c r="CF31" s="225"/>
      <c r="CG31" s="225"/>
      <c r="CH31" s="225"/>
      <c r="CI31" s="225"/>
      <c r="CJ31" s="225"/>
      <c r="CK31" s="225"/>
      <c r="CL31" s="225"/>
      <c r="CM31" s="225"/>
      <c r="CN31" s="225"/>
      <c r="CO31" s="225"/>
      <c r="CP31" s="225"/>
      <c r="CQ31" s="225"/>
      <c r="CR31" s="225"/>
      <c r="CS31" s="225"/>
      <c r="CT31" s="225"/>
      <c r="CU31" s="225"/>
      <c r="CV31" s="225"/>
      <c r="CW31" s="225"/>
    </row>
    <row r="32" spans="1:101" ht="31.5" customHeight="1" x14ac:dyDescent="0.25">
      <c r="A32" s="225"/>
      <c r="B32" s="225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  <c r="AY32" s="225"/>
      <c r="AZ32" s="225"/>
      <c r="BA32" s="225"/>
      <c r="BB32" s="225"/>
      <c r="BC32" s="225"/>
      <c r="BD32" s="225"/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  <c r="CK32" s="225"/>
      <c r="CL32" s="225"/>
      <c r="CM32" s="225"/>
      <c r="CN32" s="225"/>
      <c r="CO32" s="225"/>
      <c r="CP32" s="225"/>
      <c r="CQ32" s="225"/>
      <c r="CR32" s="225"/>
      <c r="CS32" s="225"/>
      <c r="CT32" s="225"/>
      <c r="CU32" s="225"/>
      <c r="CV32" s="225"/>
      <c r="CW32" s="225"/>
    </row>
    <row r="33" spans="1:101" ht="31.5" customHeight="1" x14ac:dyDescent="0.25">
      <c r="A33" s="225"/>
      <c r="B33" s="225"/>
      <c r="C33" s="225"/>
      <c r="D33" s="225"/>
      <c r="E33" s="225"/>
      <c r="F33" s="225"/>
      <c r="G33" s="225"/>
      <c r="H33" s="225"/>
      <c r="I33" s="225"/>
      <c r="J33" s="225"/>
      <c r="K33" s="225"/>
      <c r="L33" s="225"/>
      <c r="M33" s="225"/>
      <c r="N33" s="225"/>
      <c r="O33" s="225"/>
      <c r="P33" s="225"/>
      <c r="Q33" s="225"/>
      <c r="R33" s="225"/>
      <c r="S33" s="225"/>
      <c r="T33" s="225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  <c r="AY33" s="225"/>
      <c r="AZ33" s="225"/>
      <c r="BA33" s="225"/>
      <c r="BB33" s="225"/>
      <c r="BC33" s="225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  <c r="CK33" s="225"/>
      <c r="CL33" s="225"/>
      <c r="CM33" s="225"/>
      <c r="CN33" s="225"/>
      <c r="CO33" s="225"/>
      <c r="CP33" s="225"/>
      <c r="CQ33" s="225"/>
      <c r="CR33" s="225"/>
      <c r="CS33" s="225"/>
      <c r="CT33" s="225"/>
      <c r="CU33" s="225"/>
      <c r="CV33" s="225"/>
      <c r="CW33" s="225"/>
    </row>
    <row r="34" spans="1:101" ht="31.5" customHeight="1" x14ac:dyDescent="0.25">
      <c r="A34" s="225"/>
      <c r="B34" s="225"/>
      <c r="C34" s="225"/>
      <c r="D34" s="225"/>
      <c r="E34" s="225"/>
      <c r="F34" s="225"/>
      <c r="G34" s="225"/>
      <c r="H34" s="225"/>
      <c r="I34" s="225"/>
      <c r="J34" s="225"/>
      <c r="K34" s="225"/>
      <c r="L34" s="225"/>
      <c r="M34" s="225"/>
      <c r="N34" s="225"/>
      <c r="O34" s="225"/>
      <c r="P34" s="225"/>
      <c r="Q34" s="225"/>
      <c r="R34" s="225"/>
      <c r="S34" s="225"/>
      <c r="T34" s="225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225"/>
      <c r="AS34" s="225"/>
      <c r="AT34" s="225"/>
      <c r="AU34" s="225"/>
      <c r="AV34" s="225"/>
      <c r="AW34" s="225"/>
      <c r="AX34" s="225"/>
      <c r="AY34" s="225"/>
      <c r="AZ34" s="225"/>
      <c r="BA34" s="225"/>
      <c r="BB34" s="225"/>
      <c r="BC34" s="2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  <c r="CK34" s="225"/>
      <c r="CL34" s="225"/>
      <c r="CM34" s="225"/>
      <c r="CN34" s="225"/>
      <c r="CO34" s="225"/>
      <c r="CP34" s="225"/>
      <c r="CQ34" s="225"/>
      <c r="CR34" s="225"/>
      <c r="CS34" s="225"/>
      <c r="CT34" s="225"/>
      <c r="CU34" s="225"/>
      <c r="CV34" s="225"/>
      <c r="CW34" s="225"/>
    </row>
    <row r="35" spans="1:101" ht="31.5" customHeight="1" x14ac:dyDescent="0.25">
      <c r="A35" s="225"/>
      <c r="B35" s="225"/>
      <c r="C35" s="225"/>
      <c r="D35" s="225"/>
      <c r="E35" s="225"/>
      <c r="F35" s="225"/>
      <c r="G35" s="225"/>
      <c r="H35" s="225"/>
      <c r="I35" s="225"/>
      <c r="J35" s="225"/>
      <c r="K35" s="225"/>
      <c r="L35" s="225"/>
      <c r="M35" s="225"/>
      <c r="N35" s="225"/>
      <c r="O35" s="225"/>
      <c r="P35" s="225"/>
      <c r="Q35" s="225"/>
      <c r="R35" s="225"/>
      <c r="S35" s="225"/>
      <c r="T35" s="225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225"/>
      <c r="AS35" s="225"/>
      <c r="AT35" s="225"/>
      <c r="AU35" s="225"/>
      <c r="AV35" s="225"/>
      <c r="AW35" s="225"/>
      <c r="AX35" s="225"/>
      <c r="AY35" s="225"/>
      <c r="AZ35" s="225"/>
      <c r="BA35" s="225"/>
      <c r="BB35" s="225"/>
      <c r="BC35" s="2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  <c r="CK35" s="225"/>
      <c r="CL35" s="225"/>
      <c r="CM35" s="225"/>
      <c r="CN35" s="225"/>
      <c r="CO35" s="225"/>
      <c r="CP35" s="225"/>
      <c r="CQ35" s="225"/>
      <c r="CR35" s="225"/>
      <c r="CS35" s="225"/>
      <c r="CT35" s="225"/>
      <c r="CU35" s="225"/>
      <c r="CV35" s="225"/>
      <c r="CW35" s="225"/>
    </row>
    <row r="36" spans="1:101" ht="31.5" customHeight="1" x14ac:dyDescent="0.25">
      <c r="A36" s="225"/>
      <c r="B36" s="225"/>
      <c r="C36" s="225"/>
      <c r="D36" s="225"/>
      <c r="E36" s="225"/>
      <c r="F36" s="225"/>
      <c r="G36" s="225"/>
      <c r="H36" s="225"/>
      <c r="I36" s="225"/>
      <c r="J36" s="225"/>
      <c r="K36" s="225"/>
      <c r="L36" s="225"/>
      <c r="M36" s="225"/>
      <c r="N36" s="225"/>
      <c r="O36" s="225"/>
      <c r="P36" s="225"/>
      <c r="Q36" s="225"/>
      <c r="R36" s="225"/>
      <c r="S36" s="225"/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  <c r="AY36" s="225"/>
      <c r="AZ36" s="225"/>
      <c r="BA36" s="225"/>
      <c r="BB36" s="225"/>
      <c r="BC36" s="2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  <c r="CK36" s="225"/>
      <c r="CL36" s="225"/>
      <c r="CM36" s="225"/>
      <c r="CN36" s="225"/>
      <c r="CO36" s="225"/>
      <c r="CP36" s="225"/>
      <c r="CQ36" s="225"/>
      <c r="CR36" s="225"/>
      <c r="CS36" s="225"/>
      <c r="CT36" s="225"/>
      <c r="CU36" s="225"/>
      <c r="CV36" s="225"/>
      <c r="CW36" s="225"/>
    </row>
    <row r="37" spans="1:101" ht="31.5" customHeight="1" x14ac:dyDescent="0.25">
      <c r="A37" s="225"/>
      <c r="B37" s="225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/>
      <c r="AU37" s="225"/>
      <c r="AV37" s="225"/>
      <c r="AW37" s="225"/>
      <c r="AX37" s="225"/>
      <c r="AY37" s="225"/>
      <c r="AZ37" s="225"/>
      <c r="BA37" s="225"/>
      <c r="BB37" s="225"/>
      <c r="BC37" s="2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  <c r="CK37" s="225"/>
      <c r="CL37" s="225"/>
      <c r="CM37" s="225"/>
      <c r="CN37" s="225"/>
      <c r="CO37" s="225"/>
      <c r="CP37" s="225"/>
      <c r="CQ37" s="225"/>
      <c r="CR37" s="225"/>
      <c r="CS37" s="225"/>
      <c r="CT37" s="225"/>
      <c r="CU37" s="225"/>
      <c r="CV37" s="225"/>
      <c r="CW37" s="225"/>
    </row>
    <row r="38" spans="1:101" ht="31.5" customHeight="1" x14ac:dyDescent="0.25">
      <c r="A38" s="225"/>
      <c r="B38" s="225"/>
      <c r="C38" s="225"/>
      <c r="D38" s="225"/>
      <c r="E38" s="225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  <c r="AY38" s="225"/>
      <c r="AZ38" s="225"/>
      <c r="BA38" s="225"/>
      <c r="BB38" s="225"/>
      <c r="BC38" s="2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  <c r="CK38" s="225"/>
      <c r="CL38" s="225"/>
      <c r="CM38" s="225"/>
      <c r="CN38" s="225"/>
      <c r="CO38" s="225"/>
      <c r="CP38" s="225"/>
      <c r="CQ38" s="225"/>
      <c r="CR38" s="225"/>
      <c r="CS38" s="225"/>
      <c r="CT38" s="225"/>
      <c r="CU38" s="225"/>
      <c r="CV38" s="225"/>
      <c r="CW38" s="225"/>
    </row>
    <row r="39" spans="1:101" ht="31.5" customHeight="1" x14ac:dyDescent="0.25">
      <c r="A39" s="225"/>
      <c r="B39" s="225"/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225"/>
      <c r="AS39" s="225"/>
      <c r="AT39" s="225"/>
      <c r="AU39" s="225"/>
      <c r="AV39" s="225"/>
      <c r="AW39" s="225"/>
      <c r="AX39" s="225"/>
      <c r="AY39" s="225"/>
      <c r="AZ39" s="225"/>
      <c r="BA39" s="225"/>
      <c r="BB39" s="225"/>
      <c r="BC39" s="2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  <c r="CK39" s="225"/>
      <c r="CL39" s="225"/>
      <c r="CM39" s="225"/>
      <c r="CN39" s="225"/>
      <c r="CO39" s="225"/>
      <c r="CP39" s="225"/>
      <c r="CQ39" s="225"/>
      <c r="CR39" s="225"/>
      <c r="CS39" s="225"/>
      <c r="CT39" s="225"/>
      <c r="CU39" s="225"/>
      <c r="CV39" s="225"/>
      <c r="CW39" s="225"/>
    </row>
    <row r="40" spans="1:101" ht="31.5" customHeight="1" x14ac:dyDescent="0.25">
      <c r="A40" s="225"/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5"/>
      <c r="P40" s="225"/>
      <c r="Q40" s="225"/>
      <c r="R40" s="225"/>
      <c r="S40" s="225"/>
      <c r="T40" s="225"/>
      <c r="U40" s="225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  <c r="AY40" s="225"/>
      <c r="AZ40" s="225"/>
      <c r="BA40" s="225"/>
      <c r="BB40" s="225"/>
      <c r="BC40" s="2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  <c r="CK40" s="225"/>
      <c r="CL40" s="225"/>
      <c r="CM40" s="225"/>
      <c r="CN40" s="225"/>
      <c r="CO40" s="225"/>
      <c r="CP40" s="225"/>
      <c r="CQ40" s="225"/>
      <c r="CR40" s="225"/>
      <c r="CS40" s="225"/>
      <c r="CT40" s="225"/>
      <c r="CU40" s="225"/>
      <c r="CV40" s="225"/>
      <c r="CW40" s="225"/>
    </row>
    <row r="41" spans="1:101" ht="31.5" customHeight="1" x14ac:dyDescent="0.25">
      <c r="A41" s="225"/>
      <c r="B41" s="225"/>
      <c r="C41" s="225"/>
      <c r="D41" s="225"/>
      <c r="E41" s="225"/>
      <c r="F41" s="225"/>
      <c r="G41" s="225"/>
      <c r="H41" s="225"/>
      <c r="I41" s="225"/>
      <c r="J41" s="225"/>
      <c r="K41" s="225"/>
      <c r="L41" s="225"/>
      <c r="M41" s="225"/>
      <c r="N41" s="225"/>
      <c r="O41" s="225"/>
      <c r="P41" s="225"/>
      <c r="Q41" s="225"/>
      <c r="R41" s="225"/>
      <c r="S41" s="225"/>
      <c r="T41" s="225"/>
      <c r="U41" s="225"/>
      <c r="V41" s="225"/>
      <c r="W41" s="225"/>
      <c r="X41" s="225"/>
      <c r="Y41" s="225"/>
      <c r="Z41" s="225"/>
      <c r="AA41" s="225"/>
      <c r="AB41" s="225"/>
      <c r="AC41" s="225"/>
      <c r="AD41" s="225"/>
      <c r="AE41" s="225"/>
      <c r="AF41" s="225"/>
      <c r="AG41" s="225"/>
      <c r="AH41" s="225"/>
      <c r="AI41" s="225"/>
      <c r="AJ41" s="225"/>
      <c r="AK41" s="225"/>
      <c r="AL41" s="225"/>
      <c r="AM41" s="225"/>
      <c r="AN41" s="225"/>
      <c r="AO41" s="225"/>
      <c r="AP41" s="225"/>
      <c r="AQ41" s="225"/>
      <c r="AR41" s="225"/>
      <c r="AS41" s="225"/>
      <c r="AT41" s="225"/>
      <c r="AU41" s="225"/>
      <c r="AV41" s="225"/>
      <c r="AW41" s="225"/>
      <c r="AX41" s="225"/>
      <c r="AY41" s="225"/>
      <c r="AZ41" s="225"/>
      <c r="BA41" s="225"/>
      <c r="BB41" s="225"/>
      <c r="BC41" s="2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  <c r="CK41" s="225"/>
      <c r="CL41" s="225"/>
      <c r="CM41" s="225"/>
      <c r="CN41" s="225"/>
      <c r="CO41" s="225"/>
      <c r="CP41" s="225"/>
      <c r="CQ41" s="225"/>
      <c r="CR41" s="225"/>
      <c r="CS41" s="225"/>
      <c r="CT41" s="225"/>
      <c r="CU41" s="225"/>
      <c r="CV41" s="225"/>
      <c r="CW41" s="225"/>
    </row>
    <row r="42" spans="1:101" ht="31.5" customHeight="1" x14ac:dyDescent="0.25">
      <c r="A42" s="225"/>
      <c r="B42" s="225"/>
      <c r="C42" s="225"/>
      <c r="D42" s="225"/>
      <c r="E42" s="225"/>
      <c r="F42" s="225"/>
      <c r="G42" s="225"/>
      <c r="H42" s="225"/>
      <c r="I42" s="225"/>
      <c r="J42" s="225"/>
      <c r="K42" s="225"/>
      <c r="L42" s="225"/>
      <c r="M42" s="225"/>
      <c r="N42" s="225"/>
      <c r="O42" s="225"/>
      <c r="P42" s="225"/>
      <c r="Q42" s="225"/>
      <c r="R42" s="225"/>
      <c r="S42" s="225"/>
      <c r="T42" s="225"/>
      <c r="U42" s="225"/>
      <c r="V42" s="225"/>
      <c r="W42" s="225"/>
      <c r="X42" s="225"/>
      <c r="Y42" s="225"/>
      <c r="Z42" s="225"/>
      <c r="AA42" s="225"/>
      <c r="AB42" s="225"/>
      <c r="AC42" s="225"/>
      <c r="AD42" s="225"/>
      <c r="AE42" s="225"/>
      <c r="AF42" s="225"/>
      <c r="AG42" s="225"/>
      <c r="AH42" s="225"/>
      <c r="AI42" s="225"/>
      <c r="AJ42" s="225"/>
      <c r="AK42" s="225"/>
      <c r="AL42" s="225"/>
      <c r="AM42" s="225"/>
      <c r="AN42" s="225"/>
      <c r="AO42" s="225"/>
      <c r="AP42" s="225"/>
      <c r="AQ42" s="225"/>
      <c r="AR42" s="225"/>
      <c r="AS42" s="225"/>
      <c r="AT42" s="225"/>
      <c r="AU42" s="225"/>
      <c r="AV42" s="225"/>
      <c r="AW42" s="225"/>
      <c r="AX42" s="225"/>
      <c r="AY42" s="225"/>
      <c r="AZ42" s="225"/>
      <c r="BA42" s="225"/>
      <c r="BB42" s="225"/>
      <c r="BC42" s="225"/>
      <c r="BD42" s="225"/>
      <c r="BE42" s="225"/>
      <c r="BF42" s="225"/>
      <c r="BG42" s="225"/>
      <c r="BH42" s="225"/>
      <c r="BI42" s="225"/>
      <c r="BJ42" s="225"/>
      <c r="BK42" s="225"/>
      <c r="BL42" s="225"/>
      <c r="BM42" s="225"/>
      <c r="BN42" s="225"/>
      <c r="BO42" s="225"/>
      <c r="BP42" s="225"/>
      <c r="BQ42" s="225"/>
      <c r="BR42" s="225"/>
      <c r="BS42" s="225"/>
      <c r="BT42" s="225"/>
      <c r="BU42" s="225"/>
      <c r="BV42" s="225"/>
      <c r="BW42" s="225"/>
      <c r="BX42" s="225"/>
      <c r="BY42" s="225"/>
      <c r="BZ42" s="225"/>
      <c r="CA42" s="225"/>
      <c r="CB42" s="225"/>
      <c r="CC42" s="225"/>
      <c r="CD42" s="225"/>
      <c r="CE42" s="225"/>
      <c r="CF42" s="225"/>
      <c r="CG42" s="225"/>
      <c r="CH42" s="225"/>
      <c r="CI42" s="225"/>
      <c r="CJ42" s="225"/>
      <c r="CK42" s="225"/>
      <c r="CL42" s="225"/>
      <c r="CM42" s="225"/>
      <c r="CN42" s="225"/>
      <c r="CO42" s="225"/>
      <c r="CP42" s="225"/>
      <c r="CQ42" s="225"/>
      <c r="CR42" s="225"/>
      <c r="CS42" s="225"/>
      <c r="CT42" s="225"/>
      <c r="CU42" s="225"/>
      <c r="CV42" s="225"/>
      <c r="CW42" s="225"/>
    </row>
    <row r="43" spans="1:101" ht="31.5" customHeight="1" x14ac:dyDescent="0.25">
      <c r="A43" s="225"/>
      <c r="B43" s="225"/>
      <c r="C43" s="225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25"/>
      <c r="Y43" s="225"/>
      <c r="Z43" s="225"/>
      <c r="AA43" s="225"/>
      <c r="AB43" s="225"/>
      <c r="AC43" s="225"/>
      <c r="AD43" s="225"/>
      <c r="AE43" s="225"/>
      <c r="AF43" s="225"/>
      <c r="AG43" s="225"/>
      <c r="AH43" s="225"/>
      <c r="AI43" s="225"/>
      <c r="AJ43" s="225"/>
      <c r="AK43" s="225"/>
      <c r="AL43" s="225"/>
      <c r="AM43" s="225"/>
      <c r="AN43" s="225"/>
      <c r="AO43" s="225"/>
      <c r="AP43" s="225"/>
      <c r="AQ43" s="225"/>
      <c r="AR43" s="225"/>
      <c r="AS43" s="225"/>
      <c r="AT43" s="225"/>
      <c r="AU43" s="225"/>
      <c r="AV43" s="225"/>
      <c r="AW43" s="225"/>
      <c r="AX43" s="225"/>
      <c r="AY43" s="225"/>
      <c r="AZ43" s="225"/>
      <c r="BA43" s="225"/>
      <c r="BB43" s="225"/>
      <c r="BC43" s="225"/>
      <c r="BD43" s="225"/>
      <c r="BE43" s="225"/>
      <c r="BF43" s="225"/>
      <c r="BG43" s="225"/>
      <c r="BH43" s="225"/>
      <c r="BI43" s="225"/>
      <c r="BJ43" s="225"/>
      <c r="BK43" s="225"/>
      <c r="BL43" s="225"/>
      <c r="BM43" s="225"/>
      <c r="BN43" s="225"/>
      <c r="BO43" s="225"/>
      <c r="BP43" s="225"/>
      <c r="BQ43" s="225"/>
      <c r="BR43" s="225"/>
      <c r="BS43" s="225"/>
      <c r="BT43" s="225"/>
      <c r="BU43" s="225"/>
      <c r="BV43" s="225"/>
      <c r="BW43" s="225"/>
      <c r="BX43" s="225"/>
      <c r="BY43" s="225"/>
      <c r="BZ43" s="225"/>
      <c r="CA43" s="225"/>
      <c r="CB43" s="225"/>
      <c r="CC43" s="225"/>
      <c r="CD43" s="225"/>
      <c r="CE43" s="225"/>
      <c r="CF43" s="225"/>
      <c r="CG43" s="225"/>
      <c r="CH43" s="225"/>
      <c r="CI43" s="225"/>
      <c r="CJ43" s="225"/>
      <c r="CK43" s="225"/>
      <c r="CL43" s="225"/>
      <c r="CM43" s="225"/>
      <c r="CN43" s="225"/>
      <c r="CO43" s="225"/>
      <c r="CP43" s="225"/>
      <c r="CQ43" s="225"/>
      <c r="CR43" s="225"/>
      <c r="CS43" s="225"/>
      <c r="CT43" s="225"/>
      <c r="CU43" s="225"/>
      <c r="CV43" s="225"/>
      <c r="CW43" s="225"/>
    </row>
    <row r="44" spans="1:101" ht="31.5" customHeight="1" x14ac:dyDescent="0.25">
      <c r="A44" s="225"/>
      <c r="B44" s="225"/>
      <c r="C44" s="225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25"/>
      <c r="Y44" s="225"/>
      <c r="Z44" s="225"/>
      <c r="AA44" s="225"/>
      <c r="AB44" s="225"/>
      <c r="AC44" s="225"/>
      <c r="AD44" s="225"/>
      <c r="AE44" s="225"/>
      <c r="AF44" s="225"/>
      <c r="AG44" s="225"/>
      <c r="AH44" s="225"/>
      <c r="AI44" s="225"/>
      <c r="AJ44" s="225"/>
      <c r="AK44" s="225"/>
      <c r="AL44" s="225"/>
      <c r="AM44" s="225"/>
      <c r="AN44" s="225"/>
      <c r="AO44" s="225"/>
      <c r="AP44" s="225"/>
      <c r="AQ44" s="225"/>
      <c r="AR44" s="225"/>
      <c r="AS44" s="225"/>
      <c r="AT44" s="225"/>
      <c r="AU44" s="225"/>
      <c r="AV44" s="225"/>
      <c r="AW44" s="225"/>
      <c r="AX44" s="225"/>
      <c r="AY44" s="225"/>
      <c r="AZ44" s="225"/>
      <c r="BA44" s="225"/>
      <c r="BB44" s="225"/>
      <c r="BC44" s="225"/>
      <c r="BD44" s="225"/>
      <c r="BE44" s="225"/>
      <c r="BF44" s="225"/>
      <c r="BG44" s="225"/>
      <c r="BH44" s="225"/>
      <c r="BI44" s="225"/>
      <c r="BJ44" s="225"/>
      <c r="BK44" s="225"/>
      <c r="BL44" s="225"/>
      <c r="BM44" s="225"/>
      <c r="BN44" s="225"/>
      <c r="BO44" s="225"/>
      <c r="BP44" s="225"/>
      <c r="BQ44" s="225"/>
      <c r="BR44" s="225"/>
      <c r="BS44" s="225"/>
      <c r="BT44" s="225"/>
      <c r="BU44" s="225"/>
      <c r="BV44" s="225"/>
      <c r="BW44" s="225"/>
      <c r="BX44" s="225"/>
      <c r="BY44" s="225"/>
      <c r="BZ44" s="225"/>
      <c r="CA44" s="225"/>
      <c r="CB44" s="225"/>
      <c r="CC44" s="225"/>
      <c r="CD44" s="225"/>
      <c r="CE44" s="225"/>
      <c r="CF44" s="225"/>
      <c r="CG44" s="225"/>
      <c r="CH44" s="225"/>
      <c r="CI44" s="225"/>
      <c r="CJ44" s="225"/>
      <c r="CK44" s="225"/>
      <c r="CL44" s="225"/>
      <c r="CM44" s="225"/>
      <c r="CN44" s="225"/>
      <c r="CO44" s="225"/>
      <c r="CP44" s="225"/>
      <c r="CQ44" s="225"/>
      <c r="CR44" s="225"/>
      <c r="CS44" s="225"/>
      <c r="CT44" s="225"/>
      <c r="CU44" s="225"/>
      <c r="CV44" s="225"/>
      <c r="CW44" s="225"/>
    </row>
    <row r="45" spans="1:101" ht="31.5" customHeight="1" x14ac:dyDescent="0.25">
      <c r="Q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</row>
    <row r="46" spans="1:101" ht="31.5" customHeight="1" x14ac:dyDescent="0.25">
      <c r="Q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</row>
    <row r="47" spans="1:101" ht="31.5" customHeight="1" x14ac:dyDescent="0.25">
      <c r="Q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</row>
    <row r="48" spans="1:101" ht="31.5" customHeight="1" x14ac:dyDescent="0.25">
      <c r="Q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</row>
    <row r="49" customFormat="1" ht="31.5" customHeight="1" x14ac:dyDescent="0.25"/>
    <row r="50" customFormat="1" ht="31.5" customHeight="1" x14ac:dyDescent="0.25"/>
    <row r="51" customFormat="1" ht="31.5" customHeight="1" x14ac:dyDescent="0.25"/>
    <row r="52" customFormat="1" ht="31.5" customHeight="1" x14ac:dyDescent="0.25"/>
    <row r="53" customFormat="1" ht="31.5" customHeight="1" x14ac:dyDescent="0.25"/>
    <row r="54" customFormat="1" ht="31.5" customHeight="1" x14ac:dyDescent="0.25"/>
    <row r="55" customFormat="1" ht="31.5" customHeight="1" x14ac:dyDescent="0.25"/>
    <row r="56" customFormat="1" ht="31.5" customHeight="1" x14ac:dyDescent="0.25"/>
    <row r="57" customFormat="1" ht="31.5" customHeight="1" x14ac:dyDescent="0.25"/>
    <row r="58" customFormat="1" ht="31.5" customHeight="1" x14ac:dyDescent="0.25"/>
    <row r="59" customFormat="1" ht="31.5" customHeight="1" x14ac:dyDescent="0.25"/>
    <row r="60" customFormat="1" ht="31.5" customHeight="1" x14ac:dyDescent="0.25"/>
    <row r="61" customFormat="1" ht="31.5" customHeight="1" x14ac:dyDescent="0.25"/>
    <row r="62" customFormat="1" ht="31.5" customHeight="1" x14ac:dyDescent="0.25"/>
    <row r="63" customFormat="1" ht="31.5" customHeight="1" x14ac:dyDescent="0.25"/>
    <row r="64" customFormat="1" ht="31.5" customHeight="1" x14ac:dyDescent="0.25"/>
    <row r="65" customFormat="1" ht="31.5" customHeight="1" x14ac:dyDescent="0.25"/>
    <row r="66" customFormat="1" ht="31.5" customHeight="1" x14ac:dyDescent="0.25"/>
    <row r="67" customFormat="1" ht="31.5" customHeight="1" x14ac:dyDescent="0.25"/>
    <row r="68" customFormat="1" ht="31.5" customHeight="1" x14ac:dyDescent="0.25"/>
    <row r="69" customFormat="1" ht="31.5" customHeight="1" x14ac:dyDescent="0.25"/>
    <row r="70" customFormat="1" ht="31.5" customHeight="1" x14ac:dyDescent="0.25"/>
    <row r="71" customFormat="1" ht="31.5" customHeight="1" x14ac:dyDescent="0.25"/>
    <row r="72" customFormat="1" ht="31.5" customHeight="1" x14ac:dyDescent="0.25"/>
    <row r="73" customFormat="1" ht="31.5" customHeight="1" x14ac:dyDescent="0.25"/>
    <row r="74" customFormat="1" ht="31.5" customHeight="1" x14ac:dyDescent="0.25"/>
    <row r="75" customFormat="1" ht="31.5" customHeight="1" x14ac:dyDescent="0.25"/>
    <row r="76" customFormat="1" ht="31.5" customHeight="1" x14ac:dyDescent="0.25"/>
    <row r="77" customFormat="1" ht="31.5" customHeight="1" x14ac:dyDescent="0.25"/>
    <row r="78" customFormat="1" ht="31.5" customHeight="1" x14ac:dyDescent="0.25"/>
    <row r="79" customFormat="1" ht="31.5" customHeight="1" x14ac:dyDescent="0.25"/>
    <row r="80" customFormat="1" ht="31.5" customHeight="1" x14ac:dyDescent="0.25"/>
    <row r="81" spans="68:100" ht="31.5" customHeight="1" x14ac:dyDescent="0.3"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</row>
    <row r="82" spans="68:100" ht="31.5" customHeight="1" x14ac:dyDescent="0.3"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</row>
    <row r="83" spans="68:100" ht="31.5" customHeight="1" x14ac:dyDescent="0.3"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</row>
    <row r="84" spans="68:100" ht="31.5" customHeight="1" x14ac:dyDescent="0.3"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</row>
    <row r="85" spans="68:100" ht="31.5" customHeight="1" x14ac:dyDescent="0.3"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</row>
    <row r="86" spans="68:100" ht="31.5" customHeight="1" x14ac:dyDescent="0.3"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</row>
    <row r="87" spans="68:100" ht="31.5" customHeight="1" x14ac:dyDescent="0.3"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</row>
    <row r="88" spans="68:100" ht="31.5" customHeight="1" x14ac:dyDescent="0.3"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</row>
    <row r="89" spans="68:100" ht="31.5" customHeight="1" x14ac:dyDescent="0.3"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</row>
    <row r="90" spans="68:100" ht="31.5" customHeight="1" x14ac:dyDescent="0.3"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</row>
    <row r="91" spans="68:100" ht="31.5" customHeight="1" x14ac:dyDescent="0.3"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</row>
    <row r="92" spans="68:100" ht="31.5" customHeight="1" x14ac:dyDescent="0.3"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</row>
    <row r="93" spans="68:100" ht="31.5" customHeight="1" x14ac:dyDescent="0.3"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</row>
    <row r="94" spans="68:100" ht="31.5" customHeight="1" x14ac:dyDescent="0.3"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</row>
    <row r="95" spans="68:100" ht="31.5" customHeight="1" x14ac:dyDescent="0.3"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</row>
    <row r="96" spans="68:100" ht="31.5" customHeight="1" x14ac:dyDescent="0.3"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</row>
    <row r="97" spans="68:100" ht="31.5" customHeight="1" x14ac:dyDescent="0.3"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</row>
    <row r="98" spans="68:100" ht="31.5" customHeight="1" x14ac:dyDescent="0.3"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</row>
    <row r="99" spans="68:100" ht="31.5" customHeight="1" x14ac:dyDescent="0.3"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</row>
    <row r="100" spans="68:100" ht="31.5" customHeight="1" x14ac:dyDescent="0.3"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</row>
    <row r="101" spans="68:100" ht="31.5" customHeight="1" x14ac:dyDescent="0.3"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</row>
    <row r="102" spans="68:100" ht="31.5" customHeight="1" x14ac:dyDescent="0.3"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</row>
    <row r="103" spans="68:100" ht="31.5" customHeight="1" x14ac:dyDescent="0.3"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</row>
    <row r="104" spans="68:100" ht="31.5" customHeight="1" x14ac:dyDescent="0.3"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</row>
    <row r="105" spans="68:100" ht="31.5" customHeight="1" x14ac:dyDescent="0.3"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</row>
    <row r="106" spans="68:100" ht="31.5" customHeight="1" x14ac:dyDescent="0.3"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</row>
    <row r="107" spans="68:100" ht="31.5" customHeight="1" x14ac:dyDescent="0.3"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</row>
    <row r="108" spans="68:100" ht="31.5" customHeight="1" x14ac:dyDescent="0.3"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</row>
    <row r="109" spans="68:100" ht="31.5" customHeight="1" x14ac:dyDescent="0.3"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</row>
    <row r="110" spans="68:100" ht="31.5" customHeight="1" x14ac:dyDescent="0.3"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</row>
    <row r="111" spans="68:100" ht="31.5" customHeight="1" x14ac:dyDescent="0.3"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</row>
    <row r="112" spans="68:100" ht="31.5" customHeight="1" x14ac:dyDescent="0.3"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</row>
    <row r="113" spans="68:100" ht="31.5" customHeight="1" x14ac:dyDescent="0.3"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</row>
    <row r="114" spans="68:100" ht="31.5" customHeight="1" x14ac:dyDescent="0.3"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</row>
    <row r="115" spans="68:100" ht="31.5" customHeight="1" x14ac:dyDescent="0.3"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</row>
    <row r="116" spans="68:100" ht="31.5" customHeight="1" x14ac:dyDescent="0.3"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</row>
    <row r="117" spans="68:100" ht="31.5" customHeight="1" x14ac:dyDescent="0.3"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</row>
    <row r="118" spans="68:100" ht="31.5" customHeight="1" x14ac:dyDescent="0.3"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</row>
    <row r="119" spans="68:100" ht="31.5" customHeight="1" x14ac:dyDescent="0.3"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</row>
    <row r="120" spans="68:100" ht="31.5" customHeight="1" x14ac:dyDescent="0.3"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</row>
    <row r="121" spans="68:100" ht="31.5" customHeight="1" x14ac:dyDescent="0.3"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</row>
    <row r="122" spans="68:100" ht="31.5" customHeight="1" x14ac:dyDescent="0.3"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</row>
    <row r="123" spans="68:100" ht="31.5" customHeight="1" x14ac:dyDescent="0.3"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</row>
    <row r="124" spans="68:100" ht="31.5" customHeight="1" x14ac:dyDescent="0.3"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</row>
    <row r="125" spans="68:100" ht="31.5" customHeight="1" x14ac:dyDescent="0.3"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</row>
    <row r="126" spans="68:100" ht="31.5" customHeight="1" x14ac:dyDescent="0.3"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</row>
    <row r="127" spans="68:100" ht="31.5" customHeight="1" x14ac:dyDescent="0.3"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</row>
    <row r="128" spans="68:100" ht="31.5" customHeight="1" x14ac:dyDescent="0.3"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</row>
    <row r="129" spans="68:100" ht="31.5" customHeight="1" x14ac:dyDescent="0.3"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</row>
    <row r="130" spans="68:100" ht="31.5" customHeight="1" x14ac:dyDescent="0.3"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</row>
    <row r="131" spans="68:100" ht="31.5" customHeight="1" x14ac:dyDescent="0.3"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</row>
    <row r="132" spans="68:100" ht="31.5" customHeight="1" x14ac:dyDescent="0.3"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</row>
    <row r="133" spans="68:100" ht="31.5" customHeight="1" x14ac:dyDescent="0.3"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</row>
    <row r="134" spans="68:100" ht="31.5" customHeight="1" x14ac:dyDescent="0.3"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</row>
    <row r="135" spans="68:100" ht="31.5" customHeight="1" x14ac:dyDescent="0.3"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</row>
    <row r="136" spans="68:100" ht="31.5" customHeight="1" x14ac:dyDescent="0.3"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</row>
    <row r="137" spans="68:100" ht="31.5" customHeight="1" x14ac:dyDescent="0.3"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</row>
    <row r="138" spans="68:100" ht="31.5" customHeight="1" x14ac:dyDescent="0.3"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</row>
    <row r="139" spans="68:100" ht="31.5" customHeight="1" x14ac:dyDescent="0.3"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</row>
    <row r="140" spans="68:100" ht="31.5" customHeight="1" x14ac:dyDescent="0.3"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</row>
    <row r="141" spans="68:100" ht="31.5" customHeight="1" x14ac:dyDescent="0.3"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</row>
    <row r="142" spans="68:100" ht="31.5" customHeight="1" x14ac:dyDescent="0.3"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</row>
    <row r="143" spans="68:100" ht="31.5" customHeight="1" x14ac:dyDescent="0.3"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</row>
    <row r="144" spans="68:100" ht="31.5" customHeight="1" x14ac:dyDescent="0.3"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</row>
    <row r="145" spans="68:100" ht="31.5" customHeight="1" x14ac:dyDescent="0.3"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</row>
    <row r="146" spans="68:100" ht="31.5" customHeight="1" x14ac:dyDescent="0.3"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</row>
    <row r="147" spans="68:100" ht="31.5" customHeight="1" x14ac:dyDescent="0.3"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</row>
    <row r="148" spans="68:100" ht="31.5" customHeight="1" x14ac:dyDescent="0.3"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</row>
    <row r="149" spans="68:100" ht="31.5" customHeight="1" x14ac:dyDescent="0.3"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</row>
    <row r="150" spans="68:100" ht="31.5" customHeight="1" x14ac:dyDescent="0.3"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</row>
    <row r="151" spans="68:100" ht="31.5" customHeight="1" x14ac:dyDescent="0.3"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</row>
    <row r="152" spans="68:100" ht="31.5" customHeight="1" x14ac:dyDescent="0.3"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</row>
    <row r="153" spans="68:100" ht="31.5" customHeight="1" x14ac:dyDescent="0.3"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</row>
    <row r="154" spans="68:100" ht="31.5" customHeight="1" x14ac:dyDescent="0.3"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</row>
    <row r="155" spans="68:100" ht="31.5" customHeight="1" x14ac:dyDescent="0.3"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</row>
    <row r="156" spans="68:100" ht="31.5" customHeight="1" x14ac:dyDescent="0.3"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</row>
    <row r="157" spans="68:100" ht="31.5" customHeight="1" x14ac:dyDescent="0.3"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</row>
    <row r="158" spans="68:100" ht="31.5" customHeight="1" x14ac:dyDescent="0.3"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</row>
    <row r="159" spans="68:100" ht="31.5" customHeight="1" x14ac:dyDescent="0.3"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</row>
    <row r="160" spans="68:100" ht="31.5" customHeight="1" x14ac:dyDescent="0.3"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</row>
    <row r="161" spans="68:100" ht="31.5" customHeight="1" x14ac:dyDescent="0.3"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</row>
    <row r="162" spans="68:100" ht="31.5" customHeight="1" x14ac:dyDescent="0.3">
      <c r="BR162" s="1"/>
    </row>
    <row r="163" spans="68:100" ht="31.5" customHeight="1" x14ac:dyDescent="0.3">
      <c r="BR163" s="1"/>
    </row>
    <row r="164" spans="68:100" ht="31.5" customHeight="1" x14ac:dyDescent="0.3">
      <c r="BR164" s="1"/>
    </row>
    <row r="165" spans="68:100" ht="31.5" customHeight="1" x14ac:dyDescent="0.3">
      <c r="BR165" s="1"/>
    </row>
    <row r="166" spans="68:100" ht="31.5" customHeight="1" x14ac:dyDescent="0.3">
      <c r="BR166" s="1"/>
    </row>
    <row r="167" spans="68:100" ht="31.5" customHeight="1" x14ac:dyDescent="0.3">
      <c r="BR167" s="1"/>
    </row>
    <row r="168" spans="68:100" ht="31.5" customHeight="1" x14ac:dyDescent="0.3">
      <c r="BR168" s="1"/>
    </row>
    <row r="169" spans="68:100" ht="31.5" customHeight="1" x14ac:dyDescent="0.3">
      <c r="BR169" s="1"/>
    </row>
    <row r="170" spans="68:100" ht="31.5" customHeight="1" x14ac:dyDescent="0.3">
      <c r="BR170" s="1"/>
    </row>
    <row r="171" spans="68:100" ht="31.5" customHeight="1" x14ac:dyDescent="0.3">
      <c r="BR171" s="1"/>
    </row>
    <row r="172" spans="68:100" ht="31.5" customHeight="1" x14ac:dyDescent="0.3">
      <c r="BR172" s="1"/>
    </row>
    <row r="173" spans="68:100" ht="31.5" customHeight="1" x14ac:dyDescent="0.3">
      <c r="BR173" s="1"/>
    </row>
    <row r="174" spans="68:100" ht="31.5" customHeight="1" x14ac:dyDescent="0.3">
      <c r="BR174" s="1"/>
    </row>
    <row r="175" spans="68:100" ht="31.5" customHeight="1" x14ac:dyDescent="0.3">
      <c r="BR175" s="1"/>
    </row>
    <row r="176" spans="68:100" ht="31.5" customHeight="1" x14ac:dyDescent="0.3">
      <c r="BR176" s="1"/>
    </row>
    <row r="177" spans="70:70" ht="31.5" customHeight="1" x14ac:dyDescent="0.3">
      <c r="BR177" s="1"/>
    </row>
    <row r="178" spans="70:70" ht="31.5" customHeight="1" x14ac:dyDescent="0.3">
      <c r="BR178" s="1"/>
    </row>
    <row r="179" spans="70:70" ht="31.5" customHeight="1" x14ac:dyDescent="0.3">
      <c r="BR179" s="1"/>
    </row>
    <row r="180" spans="70:70" ht="31.5" customHeight="1" x14ac:dyDescent="0.3">
      <c r="BR180" s="1"/>
    </row>
    <row r="181" spans="70:70" ht="31.5" customHeight="1" x14ac:dyDescent="0.3">
      <c r="BR181" s="1"/>
    </row>
    <row r="182" spans="70:70" ht="31.5" customHeight="1" x14ac:dyDescent="0.3">
      <c r="BR182" s="1"/>
    </row>
    <row r="183" spans="70:70" ht="31.5" customHeight="1" x14ac:dyDescent="0.3">
      <c r="BR183" s="1"/>
    </row>
    <row r="184" spans="70:70" ht="31.5" customHeight="1" x14ac:dyDescent="0.3">
      <c r="BR184" s="1"/>
    </row>
    <row r="185" spans="70:70" ht="31.5" customHeight="1" x14ac:dyDescent="0.3">
      <c r="BR185" s="1"/>
    </row>
    <row r="186" spans="70:70" ht="31.5" customHeight="1" x14ac:dyDescent="0.3">
      <c r="BR186" s="1"/>
    </row>
    <row r="187" spans="70:70" ht="31.5" customHeight="1" x14ac:dyDescent="0.3">
      <c r="BR187" s="1"/>
    </row>
    <row r="188" spans="70:70" ht="31.5" customHeight="1" x14ac:dyDescent="0.3">
      <c r="BR188" s="1"/>
    </row>
    <row r="189" spans="70:70" ht="31.5" customHeight="1" x14ac:dyDescent="0.3">
      <c r="BR189" s="1"/>
    </row>
    <row r="190" spans="70:70" ht="31.5" customHeight="1" x14ac:dyDescent="0.3">
      <c r="BR190" s="1"/>
    </row>
    <row r="191" spans="70:70" ht="31.5" customHeight="1" x14ac:dyDescent="0.3">
      <c r="BR191" s="1"/>
    </row>
    <row r="192" spans="70:70" ht="31.5" customHeight="1" x14ac:dyDescent="0.3">
      <c r="BR192" s="1"/>
    </row>
    <row r="193" spans="70:70" ht="31.5" customHeight="1" x14ac:dyDescent="0.3">
      <c r="BR193" s="1"/>
    </row>
    <row r="194" spans="70:70" ht="31.5" customHeight="1" x14ac:dyDescent="0.3">
      <c r="BR194" s="1"/>
    </row>
    <row r="195" spans="70:70" ht="31.5" customHeight="1" x14ac:dyDescent="0.3">
      <c r="BR195" s="1"/>
    </row>
    <row r="196" spans="70:70" ht="31.5" customHeight="1" x14ac:dyDescent="0.3">
      <c r="BR196" s="1"/>
    </row>
    <row r="197" spans="70:70" ht="31.5" customHeight="1" x14ac:dyDescent="0.3">
      <c r="BR197" s="1"/>
    </row>
    <row r="198" spans="70:70" ht="31.5" customHeight="1" x14ac:dyDescent="0.3">
      <c r="BR198" s="1"/>
    </row>
    <row r="199" spans="70:70" ht="31.5" customHeight="1" x14ac:dyDescent="0.3">
      <c r="BR199" s="1"/>
    </row>
    <row r="200" spans="70:70" ht="31.5" customHeight="1" x14ac:dyDescent="0.3">
      <c r="BR200" s="1"/>
    </row>
    <row r="201" spans="70:70" ht="31.5" customHeight="1" x14ac:dyDescent="0.3">
      <c r="BR201" s="1"/>
    </row>
    <row r="202" spans="70:70" ht="31.5" customHeight="1" x14ac:dyDescent="0.3">
      <c r="BR202" s="1"/>
    </row>
    <row r="203" spans="70:70" ht="31.5" customHeight="1" x14ac:dyDescent="0.3">
      <c r="BR203" s="1"/>
    </row>
    <row r="204" spans="70:70" ht="31.5" customHeight="1" x14ac:dyDescent="0.3">
      <c r="BR204" s="1"/>
    </row>
  </sheetData>
  <autoFilter ref="E1:CV28" xr:uid="{00000000-0009-0000-0000-000008000000}">
    <sortState xmlns:xlrd2="http://schemas.microsoft.com/office/spreadsheetml/2017/richdata2" ref="E2:CV28">
      <sortCondition descending="1" ref="AB1:AB28"/>
    </sortState>
  </autoFilter>
  <mergeCells count="1">
    <mergeCell ref="A14:B14"/>
  </mergeCells>
  <phoneticPr fontId="53" type="noConversion"/>
  <conditionalFormatting sqref="F2:F12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2 BI81:BI104857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2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max"/>
        <color rgb="FFFCFCFF"/>
        <color rgb="FF63BE7B"/>
      </colorScale>
    </cfRule>
  </conditionalFormatting>
  <conditionalFormatting sqref="D1:E1 D23:E1048576 D13:E13 D2:D12 E14:E19 E22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3 C18 C23:C10485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2 BH81:BH1048576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0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0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">
    <cfRule type="colorScale" priority="131">
      <colorScale>
        <cfvo type="min"/>
        <cfvo type="max"/>
        <color rgb="FFFFEF9C"/>
        <color rgb="FF63BE7B"/>
      </colorScale>
    </cfRule>
  </conditionalFormatting>
  <conditionalFormatting sqref="C19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">
    <cfRule type="colorScale" priority="127">
      <colorScale>
        <cfvo type="min"/>
        <cfvo type="max"/>
        <color rgb="FFFFEF9C"/>
        <color rgb="FF63BE7B"/>
      </colorScale>
    </cfRule>
  </conditionalFormatting>
  <conditionalFormatting sqref="C16">
    <cfRule type="colorScale" priority="126">
      <colorScale>
        <cfvo type="min"/>
        <cfvo type="max"/>
        <color rgb="FFFFEF9C"/>
        <color rgb="FF63BE7B"/>
      </colorScale>
    </cfRule>
  </conditionalFormatting>
  <conditionalFormatting sqref="C1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">
    <cfRule type="colorScale" priority="121">
      <colorScale>
        <cfvo type="num" val="0"/>
        <cfvo type="num" val="28"/>
        <cfvo type="num" val="30.1"/>
        <color theme="9" tint="0.39997558519241921"/>
        <color theme="7" tint="0.39997558519241921"/>
        <color theme="5" tint="0.39997558519241921"/>
      </colorScale>
    </cfRule>
  </conditionalFormatting>
  <conditionalFormatting sqref="C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2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CFCFF"/>
        <color rgb="FF63BE7B"/>
      </colorScale>
    </cfRule>
  </conditionalFormatting>
  <conditionalFormatting sqref="I1:I12 I45:I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2 H45:H1048576">
    <cfRule type="colorScale" priority="116">
      <colorScale>
        <cfvo type="min"/>
        <cfvo type="max"/>
        <color rgb="FFFCFCFF"/>
        <color rgb="FFF8696B"/>
      </colorScale>
    </cfRule>
  </conditionalFormatting>
  <conditionalFormatting sqref="E2:E1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:E1048576 E1:E19">
    <cfRule type="colorScale" priority="112">
      <colorScale>
        <cfvo type="num" val="1.69"/>
        <cfvo type="num" val="1.75"/>
        <cfvo type="num" val="1.83"/>
        <color rgb="FFF8696B"/>
        <color rgb="FFFFEB84"/>
        <color rgb="FF63BE7B"/>
      </colorScale>
    </cfRule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3 D15:D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9 F22:F104857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">
    <cfRule type="colorScale" priority="107">
      <colorScale>
        <cfvo type="num" val="1.69"/>
        <cfvo type="num" val="1.75"/>
        <cfvo type="num" val="1.83"/>
        <color rgb="FFF8696B"/>
        <color rgb="FFFFEB84"/>
        <color rgb="FF63BE7B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2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{5993D631-B0C2-483A-9601-6A7EC078B582}</x14:id>
        </ext>
      </extLst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:D22">
    <cfRule type="colorScale" priority="104">
      <colorScale>
        <cfvo type="min"/>
        <cfvo type="percentile" val="50"/>
        <cfvo type="max"/>
        <color theme="7" tint="0.79998168889431442"/>
        <color theme="7" tint="0.79998168889431442"/>
        <color theme="7" tint="0.79998168889431442"/>
      </colorScale>
    </cfRule>
  </conditionalFormatting>
  <conditionalFormatting sqref="D22">
    <cfRule type="colorScale" priority="103">
      <colorScale>
        <cfvo type="num" val="1.69"/>
        <cfvo type="num" val="1.75"/>
        <cfvo type="num" val="1.83"/>
        <color rgb="FFF8696B"/>
        <color rgb="FFFFEB84"/>
        <color rgb="FF63BE7B"/>
      </colorScale>
    </cfRule>
  </conditionalFormatting>
  <conditionalFormatting sqref="U1">
    <cfRule type="iconSet" priority="10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">
      <colorScale>
        <cfvo type="min"/>
        <cfvo type="max"/>
        <color rgb="FFFFEF9C"/>
        <color rgb="FF63BE7B"/>
      </colorScale>
    </cfRule>
  </conditionalFormatting>
  <conditionalFormatting sqref="V1">
    <cfRule type="iconSet" priority="9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V1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V1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">
    <cfRule type="iconSet" priority="9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W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12 W81:W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2 V81:V1048576">
    <cfRule type="iconSet" priority="8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:U12 U81:U1048576">
    <cfRule type="iconSet" priority="8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2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{3A8E6B43-326A-4A74-9DBC-9B58B976B06C}</x14:id>
        </ext>
      </extLst>
    </cfRule>
  </conditionalFormatting>
  <conditionalFormatting sqref="X81:X1048576 X1:X12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{B1BB47D9-1585-44B0-B617-CB2BF4F3077D}</x14:id>
        </ext>
      </extLst>
    </cfRule>
    <cfRule type="colorScale" priority="85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Z81:Z1048576 Z1:Z12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{EACCAA29-2C3D-4B04-9CA6-07B6845EF7A5}</x14:id>
        </ext>
      </extLst>
    </cfRule>
    <cfRule type="colorScale" priority="83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B1:AB12 AB81:AB1048576">
    <cfRule type="dataBar" priority="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{049B647A-BD48-422F-8F11-D187A4A71BDE}</x14:id>
        </ext>
      </extLst>
    </cfRule>
    <cfRule type="colorScale" priority="81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C1:AC12 AC81:AC1048576">
    <cfRule type="dataBar" priority="7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{2F9CDC0F-5E3C-42D4-B527-15586E3B9408}</x14:id>
        </ext>
      </extLst>
    </cfRule>
    <cfRule type="colorScale" priority="79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I1:AI12 AI81:AI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{41C637A3-D75D-40C0-9BF7-C4CA9DA446D6}</x14:id>
        </ext>
      </extLst>
    </cfRule>
  </conditionalFormatting>
  <conditionalFormatting sqref="AJ1:AJ12 AJ81:AJ1048576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{FD059E67-83CF-4801-8180-E12C24D067DA}</x14:id>
        </ext>
      </extLst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2 AK81:AK1048576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{0FF92D19-8ECF-476F-BDCC-03FE86D6DBD3}</x14:id>
        </ext>
      </extLst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1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{7F67BD36-C908-4A40-A4CA-FB41F837A3F2}</x14:id>
        </ext>
      </extLst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81:AL1048576 AL1:AL12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{73D6C16B-075C-4E66-931B-17D197DFF6E4}</x14:id>
        </ext>
      </extLst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2 AO81:AO1048576">
    <cfRule type="colorScale" priority="67">
      <colorScale>
        <cfvo type="min"/>
        <cfvo type="max"/>
        <color rgb="FFFFEF9C"/>
        <color rgb="FF63BE7B"/>
      </colorScale>
    </cfRule>
  </conditionalFormatting>
  <conditionalFormatting sqref="AP1:AP12 AP81:AP1048576">
    <cfRule type="iconSet" priority="65">
      <iconSet iconSet="3Arrows">
        <cfvo type="percent" val="0"/>
        <cfvo type="percent" val="33"/>
        <cfvo type="percent" val="67"/>
      </iconSet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2 AQ81:AQ1048576">
    <cfRule type="colorScale" priority="64">
      <colorScale>
        <cfvo type="min"/>
        <cfvo type="max"/>
        <color rgb="FFFFEF9C"/>
        <color rgb="FF63BE7B"/>
      </colorScale>
    </cfRule>
  </conditionalFormatting>
  <conditionalFormatting sqref="AR1:AR12 AR81:AR1048576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2 BF81:BF1048576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{96513AB5-C18E-4437-B86A-6082F212D36B}</x14:id>
        </ext>
      </extLst>
    </cfRule>
    <cfRule type="colorScale" priority="62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O81:O1048576 O1:O12">
    <cfRule type="colorScale" priority="5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S81:S1048576 S1:S12">
    <cfRule type="iconSet" priority="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2 T81:T1048576">
    <cfRule type="iconSet" priority="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2 BE81:BE1048576">
    <cfRule type="iconSet" priority="52">
      <iconSet iconSet="3Arrows">
        <cfvo type="percent" val="0"/>
        <cfvo type="percent" val="33"/>
        <cfvo type="percent" val="67"/>
      </iconSet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81:BD1048576 BD1:BD1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2 AW81:AW104857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81:AV1048576 AV1:AV1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2 P81:P1048576">
    <cfRule type="colorScale" priority="48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AD1:AD12 AD81:AD1048576">
    <cfRule type="colorScale" priority="43">
      <colorScale>
        <cfvo type="min"/>
        <cfvo type="max"/>
        <color rgb="FFFFEF9C"/>
        <color rgb="FF63BE7B"/>
      </colorScale>
    </cfRule>
  </conditionalFormatting>
  <conditionalFormatting sqref="AE1:AE12 AE81:AE1048576">
    <cfRule type="colorScale" priority="42">
      <colorScale>
        <cfvo type="min"/>
        <cfvo type="max"/>
        <color rgb="FFFFEF9C"/>
        <color rgb="FF63BE7B"/>
      </colorScale>
    </cfRule>
  </conditionalFormatting>
  <conditionalFormatting sqref="AF1:AF12 AF81:AF104857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G12 AG81:AG104857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2 AH81:AH1048576">
    <cfRule type="colorScale" priority="39">
      <colorScale>
        <cfvo type="percentile" val="50"/>
        <cfvo type="percentile" val="80"/>
        <cfvo type="max"/>
        <color rgb="FFF8696B"/>
        <color rgb="FFFFEB84"/>
        <color rgb="FF63BE7B"/>
      </colorScale>
    </cfRule>
  </conditionalFormatting>
  <conditionalFormatting sqref="L1:L12 L81:L1048576">
    <cfRule type="colorScale" priority="38">
      <colorScale>
        <cfvo type="min"/>
        <cfvo type="max"/>
        <color rgb="FFFFEF9C"/>
        <color rgb="FF63BE7B"/>
      </colorScale>
    </cfRule>
  </conditionalFormatting>
  <conditionalFormatting sqref="AS1:AS12 AS81:AS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81:AT1048576 AT1:AT1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2 AU81:AU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81:AX1048576 AX1:AX1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2 AN81:AN10485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2 Y81:Y104857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{ADF2FCA0-B478-421D-88E6-5BA4AB0B6AE6}</x14:id>
        </ext>
      </extLst>
    </cfRule>
    <cfRule type="colorScale" priority="29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A81:AA1048576 AA1:AA12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{DF3C2BE4-A950-493E-AC67-D0C69F3FCAD8}</x14:id>
        </ext>
      </extLst>
    </cfRule>
    <cfRule type="colorScale" priority="26">
      <colorScale>
        <cfvo type="min"/>
        <cfvo type="percentile" val="50"/>
        <cfvo type="max"/>
        <color rgb="FFFFAFAF"/>
        <color rgb="FFDDEBF7"/>
        <color rgb="FF00B0F0"/>
      </colorScale>
    </cfRule>
  </conditionalFormatting>
  <conditionalFormatting sqref="AN1:AN12 AN81:AN104857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{74FF5CFA-B80D-48E8-A45A-CCA7CF544139}</x14:id>
        </ext>
      </extLst>
    </cfRule>
  </conditionalFormatting>
  <conditionalFormatting sqref="N1:N12 N81:N1048576">
    <cfRule type="colorScale" priority="23">
      <colorScale>
        <cfvo type="min"/>
        <cfvo type="max"/>
        <color rgb="FFFCFCFF"/>
        <color rgb="FFF8696B"/>
      </colorScale>
    </cfRule>
  </conditionalFormatting>
  <conditionalFormatting sqref="M1:M12 M81:M1048576">
    <cfRule type="colorScale" priority="22">
      <colorScale>
        <cfvo type="min"/>
        <cfvo type="max"/>
        <color rgb="FFFCFCFF"/>
        <color rgb="FFF8696B"/>
      </colorScale>
    </cfRule>
  </conditionalFormatting>
  <conditionalFormatting sqref="AM1:AM104857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{31D57B93-6042-44D1-A789-BF0A12BA116A}</x14:id>
        </ext>
      </extLs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2 BJ84:BK1048576 L13:P80 AN13:AX80 BL84:CV204 BD13:BF80 CW84:CW161 BJ81:CW83 S13:AL80 BH45:CW80 CW1:CW3 CW5:CW44 BH13:CV44">
    <cfRule type="iconSet" priority="2400838">
      <iconSet iconSet="3Arrows">
        <cfvo type="percent" val="0"/>
        <cfvo type="num" val="6.7"/>
        <cfvo type="num" val="7"/>
      </iconSet>
    </cfRule>
    <cfRule type="colorScale" priority="2400839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BA1:BA1048576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{B46DC36F-905F-4176-AFED-5DF63D3051EE}</x14:id>
        </ext>
      </extLst>
    </cfRule>
  </conditionalFormatting>
  <conditionalFormatting sqref="BB1:BB1048576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{B2720A35-F288-4806-8E45-E61D4870B388}</x14:id>
        </ext>
      </extLst>
    </cfRule>
  </conditionalFormatting>
  <conditionalFormatting sqref="BC1:BC1048576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{21746399-7EC8-457E-AB5E-EE2AC89F5045}</x14:id>
        </ext>
      </extLst>
    </cfRule>
  </conditionalFormatting>
  <conditionalFormatting sqref="BG1:BG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{2204188D-712A-4C89-B029-8726B7A58761}</x14:id>
        </ext>
      </extLst>
    </cfRule>
    <cfRule type="colorScale" priority="9">
      <colorScale>
        <cfvo type="min"/>
        <cfvo type="percentile" val="50"/>
        <cfvo type="max"/>
        <color rgb="FFFAA0A2"/>
        <color theme="4" tint="0.79998168889431442"/>
        <color rgb="FF00B0F0"/>
      </colorScale>
    </cfRule>
  </conditionalFormatting>
  <conditionalFormatting sqref="AY1:AY1048576">
    <cfRule type="dataBar" priority="7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{8E5A1563-43A0-4246-8F34-4DF8A67BA539}</x14:id>
        </ext>
      </extLst>
    </cfRule>
  </conditionalFormatting>
  <conditionalFormatting sqref="AZ1:AZ1048576">
    <cfRule type="dataBar" priority="6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{FB9C18E4-6E6D-4C83-A5A0-F1F14589D67B}</x14:id>
        </ext>
      </extLst>
    </cfRule>
  </conditionalFormatting>
  <conditionalFormatting sqref="J1:J1048576">
    <cfRule type="dataBar" priority="5">
      <dataBar>
        <cfvo type="min"/>
        <cfvo type="max"/>
        <color rgb="FFA40000"/>
      </dataBar>
      <extLst>
        <ext xmlns:x14="http://schemas.microsoft.com/office/spreadsheetml/2009/9/main" uri="{B025F937-C7B1-47D3-B67F-A62EFF666E3E}">
          <x14:id>{31F4685D-B9DC-4158-A394-0DD8F26AF569}</x14:id>
        </ext>
      </extLst>
    </cfRule>
  </conditionalFormatting>
  <conditionalFormatting sqref="Q1:Q1048576">
    <cfRule type="dataBar" priority="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{3C3F77A7-9A86-4208-B8B3-B87D7E04336C}</x14:id>
        </ext>
      </extLst>
    </cfRule>
  </conditionalFormatting>
  <conditionalFormatting sqref="R1:R1048576">
    <cfRule type="dataBar" priority="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{A90D3959-1A14-465B-BD87-2F2571347974}</x14:id>
        </ext>
      </extLst>
    </cfRule>
  </conditionalFormatting>
  <conditionalFormatting sqref="K1:K1048576">
    <cfRule type="dataBar" priority="2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{94B6E9DE-8C01-43F3-9F39-05A3F90B4677}</x14:id>
        </ext>
      </extLst>
    </cfRule>
  </conditionalFormatting>
  <conditionalFormatting sqref="H1:H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{3775FF0D-5CBD-4FD5-A2F3-79E3CD5C8F30}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993D631-B0C2-483A-9601-6A7EC078B5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D2:D12</xm:sqref>
        </x14:conditionalFormatting>
        <x14:conditionalFormatting xmlns:xm="http://schemas.microsoft.com/office/excel/2006/main">
          <x14:cfRule type="dataBar" id="{3A8E6B43-326A-4A74-9DBC-9B58B976B0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C2:C12</xm:sqref>
        </x14:conditionalFormatting>
        <x14:conditionalFormatting xmlns:xm="http://schemas.microsoft.com/office/excel/2006/main">
          <x14:cfRule type="dataBar" id="{B1BB47D9-1585-44B0-B617-CB2BF4F307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X81:X1048576 X1:X12</xm:sqref>
        </x14:conditionalFormatting>
        <x14:conditionalFormatting xmlns:xm="http://schemas.microsoft.com/office/excel/2006/main">
          <x14:cfRule type="dataBar" id="{EACCAA29-2C3D-4B04-9CA6-07B6845EF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Z81:Z1048576 Z1:Z12</xm:sqref>
        </x14:conditionalFormatting>
        <x14:conditionalFormatting xmlns:xm="http://schemas.microsoft.com/office/excel/2006/main">
          <x14:cfRule type="dataBar" id="{049B647A-BD48-422F-8F11-D187A4A71B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AB1:AB12 AB81:AB1048576</xm:sqref>
        </x14:conditionalFormatting>
        <x14:conditionalFormatting xmlns:xm="http://schemas.microsoft.com/office/excel/2006/main">
          <x14:cfRule type="dataBar" id="{2F9CDC0F-5E3C-42D4-B527-15586E3B94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AC1:AC12 AC81:AC1048576</xm:sqref>
        </x14:conditionalFormatting>
        <x14:conditionalFormatting xmlns:xm="http://schemas.microsoft.com/office/excel/2006/main">
          <x14:cfRule type="dataBar" id="{41C637A3-D75D-40C0-9BF7-C4CA9DA446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AI1:AI12 AI81:AI1048576</xm:sqref>
        </x14:conditionalFormatting>
        <x14:conditionalFormatting xmlns:xm="http://schemas.microsoft.com/office/excel/2006/main">
          <x14:cfRule type="dataBar" id="{FD059E67-83CF-4801-8180-E12C24D067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AJ1:AJ12 AJ81:AJ1048576</xm:sqref>
        </x14:conditionalFormatting>
        <x14:conditionalFormatting xmlns:xm="http://schemas.microsoft.com/office/excel/2006/main">
          <x14:cfRule type="dataBar" id="{0FF92D19-8ECF-476F-BDCC-03FE86D6DB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AK1:AK12 AK81:AK1048576</xm:sqref>
        </x14:conditionalFormatting>
        <x14:conditionalFormatting xmlns:xm="http://schemas.microsoft.com/office/excel/2006/main">
          <x14:cfRule type="dataBar" id="{7F67BD36-C908-4A40-A4CA-FB41F837A3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AL1</xm:sqref>
        </x14:conditionalFormatting>
        <x14:conditionalFormatting xmlns:xm="http://schemas.microsoft.com/office/excel/2006/main">
          <x14:cfRule type="dataBar" id="{73D6C16B-075C-4E66-931B-17D197DFF6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AL81:AL1048576 AL1:AL12</xm:sqref>
        </x14:conditionalFormatting>
        <x14:conditionalFormatting xmlns:xm="http://schemas.microsoft.com/office/excel/2006/main">
          <x14:cfRule type="dataBar" id="{96513AB5-C18E-4437-B86A-6082F212D36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BF1:BF12 BF81:BF1048576</xm:sqref>
        </x14:conditionalFormatting>
        <x14:conditionalFormatting xmlns:xm="http://schemas.microsoft.com/office/excel/2006/main">
          <x14:cfRule type="dataBar" id="{ADF2FCA0-B478-421D-88E6-5BA4AB0B6AE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Y1:Y12 Y81:Y1048576</xm:sqref>
        </x14:conditionalFormatting>
        <x14:conditionalFormatting xmlns:xm="http://schemas.microsoft.com/office/excel/2006/main">
          <x14:cfRule type="dataBar" id="{DF3C2BE4-A950-493E-AC67-D0C69F3FCA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AA81:AA1048576 AA1:AA12</xm:sqref>
        </x14:conditionalFormatting>
        <x14:conditionalFormatting xmlns:xm="http://schemas.microsoft.com/office/excel/2006/main">
          <x14:cfRule type="dataBar" id="{74FF5CFA-B80D-48E8-A45A-CCA7CF5441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AN1:AN12 AN81:AN1048576</xm:sqref>
        </x14:conditionalFormatting>
        <x14:conditionalFormatting xmlns:xm="http://schemas.microsoft.com/office/excel/2006/main">
          <x14:cfRule type="dataBar" id="{31D57B93-6042-44D1-A789-BF0A12BA1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AM1:AM1048576</xm:sqref>
        </x14:conditionalFormatting>
        <x14:conditionalFormatting xmlns:xm="http://schemas.microsoft.com/office/excel/2006/main">
          <x14:cfRule type="dataBar" id="{B46DC36F-905F-4176-AFED-5DF63D3051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BA1:BA1048576</xm:sqref>
        </x14:conditionalFormatting>
        <x14:conditionalFormatting xmlns:xm="http://schemas.microsoft.com/office/excel/2006/main">
          <x14:cfRule type="dataBar" id="{B2720A35-F288-4806-8E45-E61D4870B3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BB1:BB1048576</xm:sqref>
        </x14:conditionalFormatting>
        <x14:conditionalFormatting xmlns:xm="http://schemas.microsoft.com/office/excel/2006/main">
          <x14:cfRule type="dataBar" id="{21746399-7EC8-457E-AB5E-EE2AC89F50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BC1:BC1048576</xm:sqref>
        </x14:conditionalFormatting>
        <x14:conditionalFormatting xmlns:xm="http://schemas.microsoft.com/office/excel/2006/main">
          <x14:cfRule type="dataBar" id="{2204188D-712A-4C89-B029-8726B7A587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BG1:BG1048576</xm:sqref>
        </x14:conditionalFormatting>
        <x14:conditionalFormatting xmlns:xm="http://schemas.microsoft.com/office/excel/2006/main">
          <x14:cfRule type="dataBar" id="{8E5A1563-43A0-4246-8F34-4DF8A67BA5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AY1:AY1048576</xm:sqref>
        </x14:conditionalFormatting>
        <x14:conditionalFormatting xmlns:xm="http://schemas.microsoft.com/office/excel/2006/main">
          <x14:cfRule type="dataBar" id="{FB9C18E4-6E6D-4C83-A5A0-F1F14589D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AZ1:AZ1048576</xm:sqref>
        </x14:conditionalFormatting>
        <x14:conditionalFormatting xmlns:xm="http://schemas.microsoft.com/office/excel/2006/main">
          <x14:cfRule type="dataBar" id="{31F4685D-B9DC-4158-A394-0DD8F26AF5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3C3F77A7-9A86-4208-B8B3-B87D7E0433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A90D3959-1A14-465B-BD87-2F25713479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94B6E9DE-8C01-43F3-9F39-05A3F90B46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775FF0D-5CBD-4FD5-A2F3-79E3CD5C8F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D1A53-F998-497D-B743-E396AC211728}">
  <sheetPr codeName="Planilha1">
    <tabColor theme="3" tint="-0.499984740745262"/>
  </sheetPr>
  <dimension ref="A1:AS1001"/>
  <sheetViews>
    <sheetView topLeftCell="B1" zoomScale="90" zoomScaleNormal="90" workbookViewId="0">
      <pane xSplit="2" ySplit="1" topLeftCell="D2" activePane="bottomRight" state="frozen"/>
      <selection activeCell="B1" sqref="B1"/>
      <selection pane="topRight" activeCell="C1" sqref="C1"/>
      <selection pane="bottomLeft" activeCell="B2" sqref="B2"/>
      <selection pane="bottomRight"/>
    </sheetView>
  </sheetViews>
  <sheetFormatPr defaultRowHeight="15" x14ac:dyDescent="0.25"/>
  <cols>
    <col min="3" max="3" width="30.7109375" customWidth="1"/>
    <col min="4" max="4" width="12.7109375" customWidth="1"/>
    <col min="5" max="5" width="23.28515625" bestFit="1" customWidth="1"/>
    <col min="6" max="24" width="16.7109375" customWidth="1"/>
    <col min="25" max="45" width="9.140625" style="278"/>
  </cols>
  <sheetData>
    <row r="1" spans="1:45" ht="50.1" customHeight="1" thickBot="1" x14ac:dyDescent="0.3">
      <c r="A1" s="268"/>
      <c r="B1" s="112"/>
      <c r="C1" s="4" t="s">
        <v>20</v>
      </c>
      <c r="D1" s="4" t="s">
        <v>212</v>
      </c>
      <c r="E1" s="4" t="s">
        <v>28</v>
      </c>
      <c r="F1" s="4" t="s">
        <v>1</v>
      </c>
      <c r="G1" s="4" t="s">
        <v>229</v>
      </c>
      <c r="H1" s="279" t="s">
        <v>119</v>
      </c>
      <c r="I1" s="40" t="s">
        <v>18</v>
      </c>
      <c r="J1" s="40" t="s">
        <v>80</v>
      </c>
      <c r="K1" s="322" t="s">
        <v>425</v>
      </c>
      <c r="L1" s="4" t="s">
        <v>591</v>
      </c>
      <c r="M1" s="4" t="s">
        <v>593</v>
      </c>
      <c r="N1" s="4" t="s">
        <v>592</v>
      </c>
      <c r="O1" s="4" t="s">
        <v>594</v>
      </c>
      <c r="P1" s="4" t="s">
        <v>372</v>
      </c>
      <c r="Q1" s="39" t="s">
        <v>596</v>
      </c>
      <c r="R1" s="39" t="s">
        <v>597</v>
      </c>
      <c r="S1" s="39" t="s">
        <v>459</v>
      </c>
      <c r="T1" s="39" t="s">
        <v>258</v>
      </c>
      <c r="U1" s="53" t="s">
        <v>302</v>
      </c>
      <c r="V1" s="97" t="s">
        <v>301</v>
      </c>
      <c r="W1" s="287" t="s">
        <v>598</v>
      </c>
      <c r="X1" s="110" t="s">
        <v>25</v>
      </c>
      <c r="Y1" s="289" t="s">
        <v>14</v>
      </c>
      <c r="Z1" s="290" t="s">
        <v>584</v>
      </c>
      <c r="AA1" s="290" t="s">
        <v>0</v>
      </c>
      <c r="AB1" s="290" t="s">
        <v>20</v>
      </c>
      <c r="AC1" s="290" t="s">
        <v>1</v>
      </c>
      <c r="AD1" s="290" t="s">
        <v>585</v>
      </c>
      <c r="AE1" s="290" t="s">
        <v>163</v>
      </c>
      <c r="AF1" s="290" t="s">
        <v>187</v>
      </c>
      <c r="AG1" s="290" t="s">
        <v>188</v>
      </c>
      <c r="AH1" s="290" t="s">
        <v>18</v>
      </c>
      <c r="AI1" s="290" t="s">
        <v>501</v>
      </c>
      <c r="AJ1" s="290" t="s">
        <v>586</v>
      </c>
      <c r="AK1" s="290" t="s">
        <v>595</v>
      </c>
      <c r="AL1" s="290" t="s">
        <v>10</v>
      </c>
      <c r="AM1" s="290" t="s">
        <v>600</v>
      </c>
      <c r="AN1" s="290" t="s">
        <v>587</v>
      </c>
      <c r="AO1" s="290" t="s">
        <v>165</v>
      </c>
      <c r="AP1" s="290" t="s">
        <v>2</v>
      </c>
      <c r="AQ1" s="290" t="s">
        <v>3</v>
      </c>
      <c r="AR1" s="290" t="s">
        <v>588</v>
      </c>
      <c r="AS1" s="291" t="s">
        <v>589</v>
      </c>
    </row>
    <row r="2" spans="1:45" ht="24.95" customHeight="1" thickBot="1" x14ac:dyDescent="0.3">
      <c r="B2" s="29" t="str">
        <f t="shared" ref="B2:B11" si="0">ROW()-1 &amp; "º"</f>
        <v>1º</v>
      </c>
      <c r="C2" s="69" t="str">
        <f t="shared" ref="C2:C11" si="1">AB2</f>
        <v>Boris Mamuzah Lum</v>
      </c>
      <c r="D2" s="86" t="str">
        <f t="shared" ref="D2:D11" si="2">Z2</f>
        <v>GER</v>
      </c>
      <c r="E2" s="253" t="str">
        <f t="shared" ref="E2:E11" si="3">AA2</f>
        <v>Hertha</v>
      </c>
      <c r="F2" s="36">
        <f t="shared" ref="F2:F11" si="4">AC2</f>
        <v>22</v>
      </c>
      <c r="G2" s="96">
        <f t="shared" ref="G2:G11" si="5">IFERROR(AVERAGE(H:H),0)</f>
        <v>15.011111111111109</v>
      </c>
      <c r="H2" s="194">
        <f t="shared" ref="H2:H11" si="6">IFERROR(AD2/90,0)</f>
        <v>12</v>
      </c>
      <c r="I2" s="194">
        <f t="shared" ref="I2:I11" si="7">VALUE(SUBSTITUTE(AH2, " km", ""))</f>
        <v>155.6</v>
      </c>
      <c r="J2" s="280">
        <f t="shared" ref="J2:J11" si="8">I2/H2</f>
        <v>12.966666666666667</v>
      </c>
      <c r="K2" s="207">
        <f t="shared" ref="K2:K11" si="9">IFERROR((((I2*1000)/(AD2*60))*3600)/1000,0)</f>
        <v>8.6444444444444457</v>
      </c>
      <c r="L2" s="282">
        <f t="shared" ref="L2:L11" si="10">AF2</f>
        <v>96</v>
      </c>
      <c r="M2" s="283">
        <f t="shared" ref="M2:M11" si="11">L2/H2</f>
        <v>8</v>
      </c>
      <c r="N2" s="282">
        <f t="shared" ref="N2:N11" si="12">AG2</f>
        <v>24</v>
      </c>
      <c r="O2" s="283">
        <f t="shared" ref="O2:O11" si="13">N2/H2</f>
        <v>2</v>
      </c>
      <c r="P2" s="281">
        <f t="shared" ref="P2:P11" si="14">IFERROR(N2/L2,0)</f>
        <v>0.25</v>
      </c>
      <c r="Q2" s="58">
        <f t="shared" ref="Q2:Q11" si="15">AK2</f>
        <v>20</v>
      </c>
      <c r="R2" s="76">
        <f t="shared" ref="R2:R11" si="16">AK2/H2</f>
        <v>1.6666666666666667</v>
      </c>
      <c r="S2" s="284">
        <f t="shared" ref="S2:S11" si="17">AJ2</f>
        <v>0.4</v>
      </c>
      <c r="T2" s="76">
        <f t="shared" ref="T2:T11" si="18">AO2</f>
        <v>11.7</v>
      </c>
      <c r="U2" s="285">
        <f t="shared" ref="U2:U11" si="19">AN2</f>
        <v>0</v>
      </c>
      <c r="V2" s="286">
        <f t="shared" ref="V2:V11" si="20">U2/H2</f>
        <v>0</v>
      </c>
      <c r="W2" s="288">
        <f t="shared" ref="W2:W11" si="21">(I2/100)*10+(J2/12)*10+(L2/100)*10+(N2/50)*10+(R2*10)+(S2/0.1)*10+(U2*-10)</f>
        <v>97.432222222222222</v>
      </c>
      <c r="X2" s="5">
        <f t="shared" ref="X2:X11" si="22">AM2</f>
        <v>6.89</v>
      </c>
      <c r="Y2" s="298" t="s">
        <v>19</v>
      </c>
      <c r="Z2" s="294" t="s">
        <v>644</v>
      </c>
      <c r="AA2" s="294" t="s">
        <v>731</v>
      </c>
      <c r="AB2" s="294" t="s">
        <v>775</v>
      </c>
      <c r="AC2" s="294">
        <v>22</v>
      </c>
      <c r="AD2" s="294">
        <v>1080</v>
      </c>
      <c r="AE2" s="294">
        <v>6.9</v>
      </c>
      <c r="AF2" s="294">
        <v>96</v>
      </c>
      <c r="AG2" s="294">
        <v>24</v>
      </c>
      <c r="AH2" s="294" t="s">
        <v>739</v>
      </c>
      <c r="AI2" s="294">
        <v>13</v>
      </c>
      <c r="AJ2" s="294">
        <v>0.4</v>
      </c>
      <c r="AK2" s="294">
        <v>20</v>
      </c>
      <c r="AL2" s="294">
        <v>8</v>
      </c>
      <c r="AM2" s="294">
        <v>6.89</v>
      </c>
      <c r="AN2" s="294">
        <v>0</v>
      </c>
      <c r="AO2" s="294">
        <v>11.7</v>
      </c>
      <c r="AP2" s="294" t="s">
        <v>743</v>
      </c>
      <c r="AQ2" s="294" t="s">
        <v>728</v>
      </c>
      <c r="AR2" s="294">
        <v>19</v>
      </c>
      <c r="AS2" s="299" t="s">
        <v>724</v>
      </c>
    </row>
    <row r="3" spans="1:45" ht="24.95" customHeight="1" thickBot="1" x14ac:dyDescent="0.3">
      <c r="B3" s="29" t="str">
        <f t="shared" si="0"/>
        <v>2º</v>
      </c>
      <c r="C3" s="69" t="str">
        <f t="shared" si="1"/>
        <v>Cristian Cásseres</v>
      </c>
      <c r="D3" s="86" t="str">
        <f t="shared" si="2"/>
        <v>VEN</v>
      </c>
      <c r="E3" s="253" t="str">
        <f t="shared" si="3"/>
        <v>Toulouse</v>
      </c>
      <c r="F3" s="36">
        <f t="shared" si="4"/>
        <v>29</v>
      </c>
      <c r="G3" s="96">
        <f t="shared" si="5"/>
        <v>15.011111111111109</v>
      </c>
      <c r="H3" s="194">
        <f t="shared" si="6"/>
        <v>14.777777777777779</v>
      </c>
      <c r="I3" s="194">
        <f t="shared" si="7"/>
        <v>174</v>
      </c>
      <c r="J3" s="280">
        <f t="shared" si="8"/>
        <v>11.774436090225564</v>
      </c>
      <c r="K3" s="207">
        <f t="shared" si="9"/>
        <v>7.8496240601503757</v>
      </c>
      <c r="L3" s="282">
        <f t="shared" si="10"/>
        <v>81</v>
      </c>
      <c r="M3" s="283">
        <f t="shared" si="11"/>
        <v>5.481203007518797</v>
      </c>
      <c r="N3" s="282">
        <f t="shared" si="12"/>
        <v>21</v>
      </c>
      <c r="O3" s="283">
        <f t="shared" si="13"/>
        <v>1.4210526315789473</v>
      </c>
      <c r="P3" s="281">
        <f t="shared" si="14"/>
        <v>0.25925925925925924</v>
      </c>
      <c r="Q3" s="58">
        <f t="shared" si="15"/>
        <v>19</v>
      </c>
      <c r="R3" s="76">
        <f t="shared" si="16"/>
        <v>1.2857142857142856</v>
      </c>
      <c r="S3" s="284">
        <f t="shared" si="17"/>
        <v>0.3</v>
      </c>
      <c r="T3" s="76">
        <f t="shared" si="18"/>
        <v>12.5</v>
      </c>
      <c r="U3" s="285">
        <f t="shared" si="19"/>
        <v>0</v>
      </c>
      <c r="V3" s="286">
        <f t="shared" si="20"/>
        <v>0</v>
      </c>
      <c r="W3" s="288">
        <f t="shared" si="21"/>
        <v>82.369172932330827</v>
      </c>
      <c r="X3" s="5">
        <f t="shared" si="22"/>
        <v>7.09</v>
      </c>
      <c r="Y3" s="296"/>
      <c r="Z3" s="292" t="s">
        <v>767</v>
      </c>
      <c r="AA3" s="292" t="s">
        <v>768</v>
      </c>
      <c r="AB3" s="292" t="s">
        <v>769</v>
      </c>
      <c r="AC3" s="292">
        <v>29</v>
      </c>
      <c r="AD3" s="292">
        <v>1330</v>
      </c>
      <c r="AE3" s="292">
        <v>13.9</v>
      </c>
      <c r="AF3" s="292">
        <v>81</v>
      </c>
      <c r="AG3" s="292">
        <v>21</v>
      </c>
      <c r="AH3" s="292" t="s">
        <v>745</v>
      </c>
      <c r="AI3" s="292">
        <v>11.8</v>
      </c>
      <c r="AJ3" s="292">
        <v>0.3</v>
      </c>
      <c r="AK3" s="292">
        <v>19</v>
      </c>
      <c r="AL3" s="292">
        <v>2</v>
      </c>
      <c r="AM3" s="292">
        <v>7.09</v>
      </c>
      <c r="AN3" s="292">
        <v>0</v>
      </c>
      <c r="AO3" s="292">
        <v>12.5</v>
      </c>
      <c r="AP3" s="292" t="s">
        <v>770</v>
      </c>
      <c r="AQ3" s="292" t="s">
        <v>771</v>
      </c>
      <c r="AR3" s="292" t="s">
        <v>538</v>
      </c>
      <c r="AS3" s="297" t="s">
        <v>590</v>
      </c>
    </row>
    <row r="4" spans="1:45" ht="24.95" customHeight="1" thickBot="1" x14ac:dyDescent="0.3">
      <c r="B4" s="29" t="str">
        <f t="shared" si="0"/>
        <v>3º</v>
      </c>
      <c r="C4" s="69" t="str">
        <f t="shared" si="1"/>
        <v>Eric Martel</v>
      </c>
      <c r="D4" s="86" t="str">
        <f t="shared" si="2"/>
        <v>GER</v>
      </c>
      <c r="E4" s="253" t="str">
        <f t="shared" si="3"/>
        <v>FC Köln</v>
      </c>
      <c r="F4" s="36">
        <f t="shared" si="4"/>
        <v>27</v>
      </c>
      <c r="G4" s="96">
        <f t="shared" si="5"/>
        <v>15.011111111111109</v>
      </c>
      <c r="H4" s="194">
        <f t="shared" si="6"/>
        <v>13.966666666666667</v>
      </c>
      <c r="I4" s="194">
        <f t="shared" si="7"/>
        <v>177</v>
      </c>
      <c r="J4" s="280">
        <f t="shared" si="8"/>
        <v>12.673031026252984</v>
      </c>
      <c r="K4" s="207">
        <f t="shared" si="9"/>
        <v>8.4486873508353213</v>
      </c>
      <c r="L4" s="282">
        <f t="shared" si="10"/>
        <v>107</v>
      </c>
      <c r="M4" s="283">
        <f t="shared" si="11"/>
        <v>7.6610978520286395</v>
      </c>
      <c r="N4" s="282">
        <f t="shared" si="12"/>
        <v>24</v>
      </c>
      <c r="O4" s="283">
        <f t="shared" si="13"/>
        <v>1.7183770883054892</v>
      </c>
      <c r="P4" s="281">
        <f t="shared" si="14"/>
        <v>0.22429906542056074</v>
      </c>
      <c r="Q4" s="58">
        <f t="shared" si="15"/>
        <v>20</v>
      </c>
      <c r="R4" s="76">
        <f t="shared" si="16"/>
        <v>1.431980906921241</v>
      </c>
      <c r="S4" s="284">
        <f t="shared" si="17"/>
        <v>0.2</v>
      </c>
      <c r="T4" s="76">
        <f t="shared" si="18"/>
        <v>15.5</v>
      </c>
      <c r="U4" s="285">
        <f t="shared" si="19"/>
        <v>0</v>
      </c>
      <c r="V4" s="286">
        <f t="shared" si="20"/>
        <v>0</v>
      </c>
      <c r="W4" s="288">
        <f t="shared" si="21"/>
        <v>78.080668257756571</v>
      </c>
      <c r="X4" s="5">
        <f t="shared" si="22"/>
        <v>6.91</v>
      </c>
      <c r="Y4" s="298" t="s">
        <v>19</v>
      </c>
      <c r="Z4" s="294" t="s">
        <v>644</v>
      </c>
      <c r="AA4" s="294" t="s">
        <v>726</v>
      </c>
      <c r="AB4" s="294" t="s">
        <v>772</v>
      </c>
      <c r="AC4" s="294">
        <v>27</v>
      </c>
      <c r="AD4" s="294">
        <v>1257</v>
      </c>
      <c r="AE4" s="294">
        <v>11</v>
      </c>
      <c r="AF4" s="294">
        <v>107</v>
      </c>
      <c r="AG4" s="294">
        <v>24</v>
      </c>
      <c r="AH4" s="294" t="s">
        <v>773</v>
      </c>
      <c r="AI4" s="294">
        <v>12.7</v>
      </c>
      <c r="AJ4" s="294">
        <v>0.2</v>
      </c>
      <c r="AK4" s="294">
        <v>20</v>
      </c>
      <c r="AL4" s="294">
        <v>5</v>
      </c>
      <c r="AM4" s="294">
        <v>6.91</v>
      </c>
      <c r="AN4" s="294">
        <v>0</v>
      </c>
      <c r="AO4" s="294">
        <v>15.5</v>
      </c>
      <c r="AP4" s="294" t="s">
        <v>763</v>
      </c>
      <c r="AQ4" s="294" t="s">
        <v>732</v>
      </c>
      <c r="AR4" s="294">
        <v>19</v>
      </c>
      <c r="AS4" s="299" t="s">
        <v>724</v>
      </c>
    </row>
    <row r="5" spans="1:45" ht="24.95" customHeight="1" thickBot="1" x14ac:dyDescent="0.3">
      <c r="B5" s="29" t="str">
        <f t="shared" si="0"/>
        <v>4º</v>
      </c>
      <c r="C5" s="69" t="str">
        <f t="shared" si="1"/>
        <v>Gibert Jordana</v>
      </c>
      <c r="D5" s="86" t="str">
        <f t="shared" si="2"/>
        <v>ESP</v>
      </c>
      <c r="E5" s="253" t="str">
        <f t="shared" si="3"/>
        <v>Girona</v>
      </c>
      <c r="F5" s="36">
        <f t="shared" si="4"/>
        <v>22</v>
      </c>
      <c r="G5" s="96">
        <f t="shared" si="5"/>
        <v>15.011111111111109</v>
      </c>
      <c r="H5" s="194">
        <f t="shared" si="6"/>
        <v>16.788888888888888</v>
      </c>
      <c r="I5" s="194">
        <f t="shared" si="7"/>
        <v>187.7</v>
      </c>
      <c r="J5" s="280">
        <f t="shared" si="8"/>
        <v>11.180013236267373</v>
      </c>
      <c r="K5" s="207">
        <f t="shared" si="9"/>
        <v>7.4533421575115826</v>
      </c>
      <c r="L5" s="282">
        <f t="shared" si="10"/>
        <v>119</v>
      </c>
      <c r="M5" s="283">
        <f t="shared" si="11"/>
        <v>7.0880211780277964</v>
      </c>
      <c r="N5" s="282">
        <f t="shared" si="12"/>
        <v>31</v>
      </c>
      <c r="O5" s="283">
        <f t="shared" si="13"/>
        <v>1.8464592984778294</v>
      </c>
      <c r="P5" s="281">
        <f t="shared" si="14"/>
        <v>0.26050420168067229</v>
      </c>
      <c r="Q5" s="58">
        <f t="shared" si="15"/>
        <v>30</v>
      </c>
      <c r="R5" s="76">
        <f t="shared" si="16"/>
        <v>1.7868960953011253</v>
      </c>
      <c r="S5" s="284">
        <f t="shared" si="17"/>
        <v>0.2</v>
      </c>
      <c r="T5" s="76">
        <f t="shared" si="18"/>
        <v>14.3</v>
      </c>
      <c r="U5" s="285">
        <f t="shared" si="19"/>
        <v>0</v>
      </c>
      <c r="V5" s="286">
        <f t="shared" si="20"/>
        <v>0</v>
      </c>
      <c r="W5" s="288">
        <f t="shared" si="21"/>
        <v>84.055638649900729</v>
      </c>
      <c r="X5" s="5">
        <f t="shared" si="22"/>
        <v>6.99</v>
      </c>
      <c r="Y5" s="298" t="s">
        <v>19</v>
      </c>
      <c r="Z5" s="294" t="s">
        <v>646</v>
      </c>
      <c r="AA5" s="294" t="s">
        <v>723</v>
      </c>
      <c r="AB5" s="294" t="s">
        <v>749</v>
      </c>
      <c r="AC5" s="294">
        <v>22</v>
      </c>
      <c r="AD5" s="294">
        <v>1511</v>
      </c>
      <c r="AE5" s="294">
        <v>10.5</v>
      </c>
      <c r="AF5" s="294">
        <v>119</v>
      </c>
      <c r="AG5" s="294">
        <v>31</v>
      </c>
      <c r="AH5" s="294" t="s">
        <v>750</v>
      </c>
      <c r="AI5" s="294">
        <v>11.2</v>
      </c>
      <c r="AJ5" s="294">
        <v>0.2</v>
      </c>
      <c r="AK5" s="294">
        <v>30</v>
      </c>
      <c r="AL5" s="294">
        <v>15</v>
      </c>
      <c r="AM5" s="294">
        <v>6.99</v>
      </c>
      <c r="AN5" s="294">
        <v>0</v>
      </c>
      <c r="AO5" s="294">
        <v>14.3</v>
      </c>
      <c r="AP5" s="294" t="s">
        <v>751</v>
      </c>
      <c r="AQ5" s="294" t="s">
        <v>752</v>
      </c>
      <c r="AR5" s="294">
        <v>19</v>
      </c>
      <c r="AS5" s="299" t="s">
        <v>724</v>
      </c>
    </row>
    <row r="6" spans="1:45" ht="24.95" customHeight="1" thickBot="1" x14ac:dyDescent="0.3">
      <c r="B6" s="29" t="str">
        <f t="shared" si="0"/>
        <v>5º</v>
      </c>
      <c r="C6" s="69" t="str">
        <f t="shared" si="1"/>
        <v>Ismaël Doukouré</v>
      </c>
      <c r="D6" s="86" t="str">
        <f t="shared" si="2"/>
        <v>FRA</v>
      </c>
      <c r="E6" s="253" t="str">
        <f t="shared" si="3"/>
        <v>Eintracht Frankfurt</v>
      </c>
      <c r="F6" s="36">
        <f t="shared" si="4"/>
        <v>26</v>
      </c>
      <c r="G6" s="96">
        <f t="shared" si="5"/>
        <v>15.011111111111109</v>
      </c>
      <c r="H6" s="194">
        <f t="shared" si="6"/>
        <v>19.81111111111111</v>
      </c>
      <c r="I6" s="194">
        <f t="shared" si="7"/>
        <v>206.5</v>
      </c>
      <c r="J6" s="280">
        <f t="shared" si="8"/>
        <v>10.423443634324173</v>
      </c>
      <c r="K6" s="207">
        <f t="shared" si="9"/>
        <v>6.9489624228827829</v>
      </c>
      <c r="L6" s="282">
        <f t="shared" si="10"/>
        <v>40</v>
      </c>
      <c r="M6" s="283">
        <f t="shared" si="11"/>
        <v>2.0190689848569829</v>
      </c>
      <c r="N6" s="282">
        <f t="shared" si="12"/>
        <v>13</v>
      </c>
      <c r="O6" s="283">
        <f t="shared" si="13"/>
        <v>0.65619742007851933</v>
      </c>
      <c r="P6" s="281">
        <f t="shared" si="14"/>
        <v>0.32500000000000001</v>
      </c>
      <c r="Q6" s="58">
        <f t="shared" si="15"/>
        <v>17</v>
      </c>
      <c r="R6" s="76">
        <f t="shared" si="16"/>
        <v>0.85810431856421765</v>
      </c>
      <c r="S6" s="284">
        <f t="shared" si="17"/>
        <v>0.3</v>
      </c>
      <c r="T6" s="76">
        <f t="shared" si="18"/>
        <v>5.3</v>
      </c>
      <c r="U6" s="285">
        <f t="shared" si="19"/>
        <v>0</v>
      </c>
      <c r="V6" s="286">
        <f t="shared" si="20"/>
        <v>0</v>
      </c>
      <c r="W6" s="288">
        <f t="shared" si="21"/>
        <v>74.51724621424566</v>
      </c>
      <c r="X6" s="5">
        <f t="shared" si="22"/>
        <v>6.91</v>
      </c>
      <c r="Y6" s="296" t="s">
        <v>19</v>
      </c>
      <c r="Z6" s="292" t="s">
        <v>642</v>
      </c>
      <c r="AA6" s="292" t="s">
        <v>725</v>
      </c>
      <c r="AB6" s="292" t="s">
        <v>747</v>
      </c>
      <c r="AC6" s="292">
        <v>26</v>
      </c>
      <c r="AD6" s="292">
        <v>1783</v>
      </c>
      <c r="AE6" s="292">
        <v>11.6</v>
      </c>
      <c r="AF6" s="292">
        <v>40</v>
      </c>
      <c r="AG6" s="292">
        <v>13</v>
      </c>
      <c r="AH6" s="292" t="s">
        <v>742</v>
      </c>
      <c r="AI6" s="292">
        <v>10.4</v>
      </c>
      <c r="AJ6" s="292">
        <v>0.3</v>
      </c>
      <c r="AK6" s="292">
        <v>17</v>
      </c>
      <c r="AL6" s="292">
        <v>0</v>
      </c>
      <c r="AM6" s="292">
        <v>6.91</v>
      </c>
      <c r="AN6" s="292">
        <v>0</v>
      </c>
      <c r="AO6" s="292">
        <v>5.3</v>
      </c>
      <c r="AP6" s="292" t="s">
        <v>748</v>
      </c>
      <c r="AQ6" s="292" t="s">
        <v>729</v>
      </c>
      <c r="AR6" s="292">
        <v>19</v>
      </c>
      <c r="AS6" s="297" t="s">
        <v>724</v>
      </c>
    </row>
    <row r="7" spans="1:45" ht="24.95" customHeight="1" thickBot="1" x14ac:dyDescent="0.3">
      <c r="B7" s="29" t="str">
        <f t="shared" si="0"/>
        <v>6º</v>
      </c>
      <c r="C7" s="69" t="str">
        <f t="shared" si="1"/>
        <v>Jakob Breum</v>
      </c>
      <c r="D7" s="86" t="str">
        <f t="shared" si="2"/>
        <v>GER</v>
      </c>
      <c r="E7" s="253" t="str">
        <f t="shared" si="3"/>
        <v>Schalke 04</v>
      </c>
      <c r="F7" s="36">
        <f t="shared" si="4"/>
        <v>26</v>
      </c>
      <c r="G7" s="96">
        <f t="shared" si="5"/>
        <v>15.011111111111109</v>
      </c>
      <c r="H7" s="194">
        <f t="shared" si="6"/>
        <v>11.511111111111111</v>
      </c>
      <c r="I7" s="194">
        <f t="shared" si="7"/>
        <v>157.19999999999999</v>
      </c>
      <c r="J7" s="280">
        <f t="shared" si="8"/>
        <v>13.656370656370655</v>
      </c>
      <c r="K7" s="207">
        <f t="shared" si="9"/>
        <v>9.1042471042471043</v>
      </c>
      <c r="L7" s="282">
        <f t="shared" si="10"/>
        <v>117</v>
      </c>
      <c r="M7" s="283">
        <f t="shared" si="11"/>
        <v>10.164092664092664</v>
      </c>
      <c r="N7" s="282">
        <f t="shared" si="12"/>
        <v>37</v>
      </c>
      <c r="O7" s="283">
        <f t="shared" si="13"/>
        <v>3.2142857142857144</v>
      </c>
      <c r="P7" s="281">
        <f t="shared" si="14"/>
        <v>0.31623931623931623</v>
      </c>
      <c r="Q7" s="58">
        <f t="shared" si="15"/>
        <v>21</v>
      </c>
      <c r="R7" s="76">
        <f t="shared" si="16"/>
        <v>1.8243243243243243</v>
      </c>
      <c r="S7" s="284">
        <f t="shared" si="17"/>
        <v>0.1</v>
      </c>
      <c r="T7" s="76">
        <f t="shared" si="18"/>
        <v>22.3</v>
      </c>
      <c r="U7" s="285">
        <f t="shared" si="19"/>
        <v>0</v>
      </c>
      <c r="V7" s="286">
        <f t="shared" si="20"/>
        <v>0</v>
      </c>
      <c r="W7" s="288">
        <f t="shared" si="21"/>
        <v>74.443552123552109</v>
      </c>
      <c r="X7" s="5">
        <f t="shared" si="22"/>
        <v>6.97</v>
      </c>
      <c r="Y7" s="298" t="s">
        <v>19</v>
      </c>
      <c r="Z7" s="294" t="s">
        <v>644</v>
      </c>
      <c r="AA7" s="294" t="s">
        <v>733</v>
      </c>
      <c r="AB7" s="294" t="s">
        <v>741</v>
      </c>
      <c r="AC7" s="294">
        <v>26</v>
      </c>
      <c r="AD7" s="294">
        <v>1036</v>
      </c>
      <c r="AE7" s="294">
        <v>7.4</v>
      </c>
      <c r="AF7" s="294">
        <v>117</v>
      </c>
      <c r="AG7" s="294">
        <v>37</v>
      </c>
      <c r="AH7" s="294" t="s">
        <v>746</v>
      </c>
      <c r="AI7" s="294">
        <v>13.7</v>
      </c>
      <c r="AJ7" s="294">
        <v>0.1</v>
      </c>
      <c r="AK7" s="294">
        <v>21</v>
      </c>
      <c r="AL7" s="294">
        <v>41</v>
      </c>
      <c r="AM7" s="294">
        <v>6.97</v>
      </c>
      <c r="AN7" s="294">
        <v>0</v>
      </c>
      <c r="AO7" s="294">
        <v>22.3</v>
      </c>
      <c r="AP7" s="294" t="s">
        <v>776</v>
      </c>
      <c r="AQ7" s="294" t="s">
        <v>740</v>
      </c>
      <c r="AR7" s="294">
        <v>19</v>
      </c>
      <c r="AS7" s="299" t="s">
        <v>590</v>
      </c>
    </row>
    <row r="8" spans="1:45" ht="24.95" customHeight="1" thickBot="1" x14ac:dyDescent="0.3">
      <c r="B8" s="29" t="str">
        <f t="shared" si="0"/>
        <v>7º</v>
      </c>
      <c r="C8" s="69" t="str">
        <f t="shared" si="1"/>
        <v>Joris Chotard</v>
      </c>
      <c r="D8" s="86" t="str">
        <f t="shared" si="2"/>
        <v>FRA</v>
      </c>
      <c r="E8" s="253" t="str">
        <f t="shared" si="3"/>
        <v>Brest</v>
      </c>
      <c r="F8" s="36">
        <f t="shared" si="4"/>
        <v>28</v>
      </c>
      <c r="G8" s="96">
        <f t="shared" si="5"/>
        <v>15.011111111111109</v>
      </c>
      <c r="H8" s="194">
        <f t="shared" si="6"/>
        <v>15.388888888888889</v>
      </c>
      <c r="I8" s="194">
        <f t="shared" si="7"/>
        <v>187.3</v>
      </c>
      <c r="J8" s="280">
        <f t="shared" si="8"/>
        <v>12.171119133574008</v>
      </c>
      <c r="K8" s="207">
        <f t="shared" si="9"/>
        <v>8.1140794223826713</v>
      </c>
      <c r="L8" s="282">
        <f t="shared" si="10"/>
        <v>111</v>
      </c>
      <c r="M8" s="283">
        <f t="shared" si="11"/>
        <v>7.2129963898916962</v>
      </c>
      <c r="N8" s="282">
        <f t="shared" si="12"/>
        <v>21</v>
      </c>
      <c r="O8" s="283">
        <f t="shared" si="13"/>
        <v>1.3646209386281589</v>
      </c>
      <c r="P8" s="281">
        <f t="shared" si="14"/>
        <v>0.1891891891891892</v>
      </c>
      <c r="Q8" s="58">
        <f t="shared" si="15"/>
        <v>16</v>
      </c>
      <c r="R8" s="76">
        <f t="shared" si="16"/>
        <v>1.03971119133574</v>
      </c>
      <c r="S8" s="284">
        <f t="shared" si="17"/>
        <v>0.3</v>
      </c>
      <c r="T8" s="76">
        <f t="shared" si="18"/>
        <v>14.7</v>
      </c>
      <c r="U8" s="285">
        <f t="shared" si="19"/>
        <v>0</v>
      </c>
      <c r="V8" s="286">
        <f t="shared" si="20"/>
        <v>0</v>
      </c>
      <c r="W8" s="288">
        <f t="shared" si="21"/>
        <v>84.569711191335742</v>
      </c>
      <c r="X8" s="5">
        <f t="shared" si="22"/>
        <v>6.97</v>
      </c>
      <c r="Y8" s="296"/>
      <c r="Z8" s="292" t="s">
        <v>642</v>
      </c>
      <c r="AA8" s="292" t="s">
        <v>753</v>
      </c>
      <c r="AB8" s="292" t="s">
        <v>764</v>
      </c>
      <c r="AC8" s="292">
        <v>28</v>
      </c>
      <c r="AD8" s="292">
        <v>1385</v>
      </c>
      <c r="AE8" s="292">
        <v>13.1</v>
      </c>
      <c r="AF8" s="292">
        <v>111</v>
      </c>
      <c r="AG8" s="292">
        <v>21</v>
      </c>
      <c r="AH8" s="292" t="s">
        <v>765</v>
      </c>
      <c r="AI8" s="292">
        <v>12.2</v>
      </c>
      <c r="AJ8" s="292">
        <v>0.3</v>
      </c>
      <c r="AK8" s="292">
        <v>16</v>
      </c>
      <c r="AL8" s="292">
        <v>2</v>
      </c>
      <c r="AM8" s="292">
        <v>6.97</v>
      </c>
      <c r="AN8" s="292">
        <v>0</v>
      </c>
      <c r="AO8" s="292">
        <v>14.7</v>
      </c>
      <c r="AP8" s="292" t="s">
        <v>766</v>
      </c>
      <c r="AQ8" s="292" t="s">
        <v>744</v>
      </c>
      <c r="AR8" s="292" t="s">
        <v>538</v>
      </c>
      <c r="AS8" s="297" t="s">
        <v>590</v>
      </c>
    </row>
    <row r="9" spans="1:45" ht="24.95" customHeight="1" thickBot="1" x14ac:dyDescent="0.3">
      <c r="B9" s="29" t="str">
        <f t="shared" si="0"/>
        <v>8º</v>
      </c>
      <c r="C9" s="69" t="str">
        <f t="shared" si="1"/>
        <v>Naatan Skyttä</v>
      </c>
      <c r="D9" s="86" t="str">
        <f t="shared" si="2"/>
        <v>FIN</v>
      </c>
      <c r="E9" s="253" t="str">
        <f t="shared" si="3"/>
        <v>Kaiserslautern</v>
      </c>
      <c r="F9" s="36">
        <f t="shared" si="4"/>
        <v>27</v>
      </c>
      <c r="G9" s="96">
        <f t="shared" si="5"/>
        <v>15.011111111111109</v>
      </c>
      <c r="H9" s="194">
        <f t="shared" si="6"/>
        <v>13.644444444444444</v>
      </c>
      <c r="I9" s="194">
        <f t="shared" si="7"/>
        <v>178.5</v>
      </c>
      <c r="J9" s="280">
        <f t="shared" si="8"/>
        <v>13.082247557003258</v>
      </c>
      <c r="K9" s="207">
        <f t="shared" si="9"/>
        <v>8.721498371335505</v>
      </c>
      <c r="L9" s="282">
        <f t="shared" si="10"/>
        <v>133</v>
      </c>
      <c r="M9" s="283">
        <f t="shared" si="11"/>
        <v>9.7475570032573291</v>
      </c>
      <c r="N9" s="282">
        <f t="shared" si="12"/>
        <v>35</v>
      </c>
      <c r="O9" s="283">
        <f t="shared" si="13"/>
        <v>2.5651465798045603</v>
      </c>
      <c r="P9" s="281">
        <f t="shared" si="14"/>
        <v>0.26315789473684209</v>
      </c>
      <c r="Q9" s="58">
        <f t="shared" si="15"/>
        <v>16</v>
      </c>
      <c r="R9" s="76">
        <f t="shared" si="16"/>
        <v>1.1726384364820848</v>
      </c>
      <c r="S9" s="284">
        <f t="shared" si="17"/>
        <v>0.2</v>
      </c>
      <c r="T9" s="76">
        <f t="shared" si="18"/>
        <v>20.5</v>
      </c>
      <c r="U9" s="285">
        <f t="shared" si="19"/>
        <v>0</v>
      </c>
      <c r="V9" s="286">
        <f t="shared" si="20"/>
        <v>0</v>
      </c>
      <c r="W9" s="288">
        <f t="shared" si="21"/>
        <v>80.778257328990222</v>
      </c>
      <c r="X9" s="5">
        <f t="shared" si="22"/>
        <v>6.81</v>
      </c>
      <c r="Y9" s="298"/>
      <c r="Z9" s="294" t="s">
        <v>734</v>
      </c>
      <c r="AA9" s="294" t="s">
        <v>730</v>
      </c>
      <c r="AB9" s="294" t="s">
        <v>735</v>
      </c>
      <c r="AC9" s="294">
        <v>27</v>
      </c>
      <c r="AD9" s="294">
        <v>1228</v>
      </c>
      <c r="AE9" s="294">
        <v>7.5</v>
      </c>
      <c r="AF9" s="294">
        <v>133</v>
      </c>
      <c r="AG9" s="294">
        <v>35</v>
      </c>
      <c r="AH9" s="294" t="s">
        <v>774</v>
      </c>
      <c r="AI9" s="294">
        <v>13.1</v>
      </c>
      <c r="AJ9" s="294">
        <v>0.2</v>
      </c>
      <c r="AK9" s="294">
        <v>16</v>
      </c>
      <c r="AL9" s="294">
        <v>36</v>
      </c>
      <c r="AM9" s="294">
        <v>6.81</v>
      </c>
      <c r="AN9" s="294">
        <v>0</v>
      </c>
      <c r="AO9" s="294">
        <v>20.5</v>
      </c>
      <c r="AP9" s="294" t="s">
        <v>736</v>
      </c>
      <c r="AQ9" s="294" t="s">
        <v>737</v>
      </c>
      <c r="AR9" s="294">
        <v>17</v>
      </c>
      <c r="AS9" s="299" t="s">
        <v>724</v>
      </c>
    </row>
    <row r="10" spans="1:45" ht="24.95" customHeight="1" thickBot="1" x14ac:dyDescent="0.3">
      <c r="B10" s="29" t="str">
        <f t="shared" si="0"/>
        <v>9º</v>
      </c>
      <c r="C10" s="69" t="str">
        <f t="shared" si="1"/>
        <v>Sergi Altimira</v>
      </c>
      <c r="D10" s="86" t="str">
        <f t="shared" si="2"/>
        <v>ESP</v>
      </c>
      <c r="E10" s="253" t="str">
        <f t="shared" si="3"/>
        <v>Real Betis</v>
      </c>
      <c r="F10" s="36">
        <f t="shared" si="4"/>
        <v>28</v>
      </c>
      <c r="G10" s="96">
        <f t="shared" si="5"/>
        <v>15.011111111111109</v>
      </c>
      <c r="H10" s="194">
        <f t="shared" si="6"/>
        <v>16.222222222222221</v>
      </c>
      <c r="I10" s="194">
        <f t="shared" si="7"/>
        <v>188.8</v>
      </c>
      <c r="J10" s="280">
        <f t="shared" si="8"/>
        <v>11.638356164383563</v>
      </c>
      <c r="K10" s="207">
        <f t="shared" si="9"/>
        <v>7.7589041095890403</v>
      </c>
      <c r="L10" s="282">
        <f t="shared" si="10"/>
        <v>89</v>
      </c>
      <c r="M10" s="283">
        <f t="shared" si="11"/>
        <v>5.4863013698630141</v>
      </c>
      <c r="N10" s="282">
        <f t="shared" si="12"/>
        <v>32</v>
      </c>
      <c r="O10" s="283">
        <f t="shared" si="13"/>
        <v>1.9726027397260275</v>
      </c>
      <c r="P10" s="281">
        <f t="shared" si="14"/>
        <v>0.3595505617977528</v>
      </c>
      <c r="Q10" s="58">
        <f t="shared" si="15"/>
        <v>20</v>
      </c>
      <c r="R10" s="76">
        <f t="shared" si="16"/>
        <v>1.2328767123287672</v>
      </c>
      <c r="S10" s="284">
        <f t="shared" si="17"/>
        <v>0.2</v>
      </c>
      <c r="T10" s="76">
        <f t="shared" si="18"/>
        <v>14.1</v>
      </c>
      <c r="U10" s="285">
        <f t="shared" si="19"/>
        <v>0</v>
      </c>
      <c r="V10" s="286">
        <f t="shared" si="20"/>
        <v>0</v>
      </c>
      <c r="W10" s="288">
        <f t="shared" si="21"/>
        <v>76.207397260273979</v>
      </c>
      <c r="X10" s="5">
        <f t="shared" si="22"/>
        <v>7.04</v>
      </c>
      <c r="Y10" s="296"/>
      <c r="Z10" s="292" t="s">
        <v>646</v>
      </c>
      <c r="AA10" s="292" t="s">
        <v>755</v>
      </c>
      <c r="AB10" s="292" t="s">
        <v>756</v>
      </c>
      <c r="AC10" s="292">
        <v>28</v>
      </c>
      <c r="AD10" s="292">
        <v>1460</v>
      </c>
      <c r="AE10" s="292">
        <v>9.6</v>
      </c>
      <c r="AF10" s="292">
        <v>89</v>
      </c>
      <c r="AG10" s="292">
        <v>32</v>
      </c>
      <c r="AH10" s="292" t="s">
        <v>754</v>
      </c>
      <c r="AI10" s="292">
        <v>11.6</v>
      </c>
      <c r="AJ10" s="292">
        <v>0.2</v>
      </c>
      <c r="AK10" s="292">
        <v>20</v>
      </c>
      <c r="AL10" s="292">
        <v>3</v>
      </c>
      <c r="AM10" s="292">
        <v>7.04</v>
      </c>
      <c r="AN10" s="292">
        <v>0</v>
      </c>
      <c r="AO10" s="292">
        <v>14.1</v>
      </c>
      <c r="AP10" s="292" t="s">
        <v>757</v>
      </c>
      <c r="AQ10" s="292" t="s">
        <v>758</v>
      </c>
      <c r="AR10" s="292">
        <v>17</v>
      </c>
      <c r="AS10" s="297" t="s">
        <v>724</v>
      </c>
    </row>
    <row r="11" spans="1:45" ht="24.95" customHeight="1" thickBot="1" x14ac:dyDescent="0.3">
      <c r="B11" s="29" t="str">
        <f t="shared" si="0"/>
        <v>10º</v>
      </c>
      <c r="C11" s="69" t="str">
        <f t="shared" si="1"/>
        <v>Valentin Atangana</v>
      </c>
      <c r="D11" s="86" t="str">
        <f t="shared" si="2"/>
        <v>CMR</v>
      </c>
      <c r="E11" s="253" t="str">
        <f t="shared" si="3"/>
        <v>Schalke 04</v>
      </c>
      <c r="F11" s="36">
        <f t="shared" si="4"/>
        <v>24</v>
      </c>
      <c r="G11" s="96">
        <f t="shared" si="5"/>
        <v>15.011111111111109</v>
      </c>
      <c r="H11" s="194">
        <f t="shared" si="6"/>
        <v>16</v>
      </c>
      <c r="I11" s="194">
        <f t="shared" si="7"/>
        <v>204.7</v>
      </c>
      <c r="J11" s="280">
        <f t="shared" si="8"/>
        <v>12.793749999999999</v>
      </c>
      <c r="K11" s="207">
        <f t="shared" si="9"/>
        <v>8.5291666666666668</v>
      </c>
      <c r="L11" s="282">
        <f t="shared" si="10"/>
        <v>93</v>
      </c>
      <c r="M11" s="283">
        <f t="shared" si="11"/>
        <v>5.8125</v>
      </c>
      <c r="N11" s="282">
        <f t="shared" si="12"/>
        <v>22</v>
      </c>
      <c r="O11" s="283">
        <f t="shared" si="13"/>
        <v>1.375</v>
      </c>
      <c r="P11" s="281">
        <f t="shared" si="14"/>
        <v>0.23655913978494625</v>
      </c>
      <c r="Q11" s="58">
        <f t="shared" si="15"/>
        <v>29</v>
      </c>
      <c r="R11" s="76">
        <f t="shared" si="16"/>
        <v>1.8125</v>
      </c>
      <c r="S11" s="284">
        <f t="shared" si="17"/>
        <v>0.2</v>
      </c>
      <c r="T11" s="76">
        <f t="shared" si="18"/>
        <v>21.3</v>
      </c>
      <c r="U11" s="285">
        <f t="shared" si="19"/>
        <v>0</v>
      </c>
      <c r="V11" s="286">
        <f t="shared" si="20"/>
        <v>0</v>
      </c>
      <c r="W11" s="288">
        <f t="shared" si="21"/>
        <v>82.95645833333333</v>
      </c>
      <c r="X11" s="5">
        <f t="shared" si="22"/>
        <v>6.94</v>
      </c>
      <c r="Y11" s="298" t="s">
        <v>19</v>
      </c>
      <c r="Z11" s="294" t="s">
        <v>759</v>
      </c>
      <c r="AA11" s="294" t="s">
        <v>733</v>
      </c>
      <c r="AB11" s="294" t="s">
        <v>760</v>
      </c>
      <c r="AC11" s="294">
        <v>24</v>
      </c>
      <c r="AD11" s="294">
        <v>1440</v>
      </c>
      <c r="AE11" s="294">
        <v>6.4</v>
      </c>
      <c r="AF11" s="294">
        <v>93</v>
      </c>
      <c r="AG11" s="294">
        <v>22</v>
      </c>
      <c r="AH11" s="294" t="s">
        <v>761</v>
      </c>
      <c r="AI11" s="294">
        <v>12.8</v>
      </c>
      <c r="AJ11" s="294">
        <v>0.2</v>
      </c>
      <c r="AK11" s="294">
        <v>29</v>
      </c>
      <c r="AL11" s="294">
        <v>6</v>
      </c>
      <c r="AM11" s="294">
        <v>6.94</v>
      </c>
      <c r="AN11" s="294">
        <v>0</v>
      </c>
      <c r="AO11" s="294">
        <v>21.3</v>
      </c>
      <c r="AP11" s="294" t="s">
        <v>762</v>
      </c>
      <c r="AQ11" s="294" t="s">
        <v>738</v>
      </c>
      <c r="AR11" s="294">
        <v>19</v>
      </c>
      <c r="AS11" s="299" t="s">
        <v>590</v>
      </c>
    </row>
    <row r="12" spans="1:45" ht="24.95" customHeight="1" x14ac:dyDescent="0.25"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ht="24.95" customHeight="1" x14ac:dyDescent="0.25"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ht="24.95" customHeight="1" x14ac:dyDescent="0.25"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ht="24.95" customHeight="1" x14ac:dyDescent="0.25"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ht="24.95" customHeight="1" x14ac:dyDescent="0.25"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customFormat="1" ht="24.95" customHeight="1" x14ac:dyDescent="0.25"/>
    <row r="18" customFormat="1" ht="24.95" customHeight="1" x14ac:dyDescent="0.25"/>
    <row r="19" customFormat="1" ht="24.95" customHeight="1" x14ac:dyDescent="0.25"/>
    <row r="20" customFormat="1" ht="24.95" customHeight="1" x14ac:dyDescent="0.25"/>
    <row r="21" customFormat="1" ht="24.95" customHeight="1" x14ac:dyDescent="0.25"/>
    <row r="22" customFormat="1" ht="24.95" customHeight="1" x14ac:dyDescent="0.25"/>
    <row r="23" customFormat="1" ht="24.95" customHeight="1" x14ac:dyDescent="0.25"/>
    <row r="24" customFormat="1" ht="24.95" customHeight="1" x14ac:dyDescent="0.25"/>
    <row r="25" customFormat="1" ht="24.95" customHeight="1" x14ac:dyDescent="0.25"/>
    <row r="26" customFormat="1" ht="24.95" customHeight="1" x14ac:dyDescent="0.25"/>
    <row r="27" customFormat="1" ht="24.95" customHeight="1" x14ac:dyDescent="0.25"/>
    <row r="28" customFormat="1" ht="24.95" customHeight="1" x14ac:dyDescent="0.25"/>
    <row r="29" customFormat="1" ht="24.95" customHeight="1" x14ac:dyDescent="0.25"/>
    <row r="30" customFormat="1" ht="24.95" customHeight="1" x14ac:dyDescent="0.25"/>
    <row r="31" customFormat="1" ht="24.95" customHeight="1" x14ac:dyDescent="0.25"/>
    <row r="32" customFormat="1" ht="24.95" customHeight="1" x14ac:dyDescent="0.25"/>
    <row r="33" customFormat="1" ht="24.95" customHeight="1" x14ac:dyDescent="0.25"/>
    <row r="34" customFormat="1" ht="24.95" customHeight="1" x14ac:dyDescent="0.25"/>
    <row r="35" customFormat="1" ht="24.95" customHeight="1" x14ac:dyDescent="0.25"/>
    <row r="36" customFormat="1" ht="24.95" customHeight="1" x14ac:dyDescent="0.25"/>
    <row r="37" customFormat="1" ht="24.95" customHeight="1" x14ac:dyDescent="0.25"/>
    <row r="38" customFormat="1" ht="24.95" customHeight="1" x14ac:dyDescent="0.25"/>
    <row r="39" customFormat="1" ht="24.95" customHeight="1" x14ac:dyDescent="0.25"/>
    <row r="40" customFormat="1" ht="24.95" customHeight="1" x14ac:dyDescent="0.25"/>
    <row r="41" customFormat="1" ht="24.95" customHeight="1" x14ac:dyDescent="0.25"/>
    <row r="42" customFormat="1" ht="24.95" customHeight="1" x14ac:dyDescent="0.25"/>
    <row r="43" customFormat="1" ht="24.95" customHeight="1" x14ac:dyDescent="0.25"/>
    <row r="44" customFormat="1" ht="24.95" customHeight="1" x14ac:dyDescent="0.25"/>
    <row r="45" customFormat="1" ht="24.95" customHeight="1" x14ac:dyDescent="0.25"/>
    <row r="46" customFormat="1" ht="24.95" customHeight="1" x14ac:dyDescent="0.25"/>
    <row r="47" customFormat="1" ht="24.95" customHeight="1" x14ac:dyDescent="0.25"/>
    <row r="48" customFormat="1" ht="24.95" customHeight="1" x14ac:dyDescent="0.25"/>
    <row r="49" customFormat="1" ht="24.95" customHeight="1" x14ac:dyDescent="0.25"/>
    <row r="50" customFormat="1" ht="24.95" customHeight="1" x14ac:dyDescent="0.25"/>
    <row r="51" customFormat="1" ht="24.95" customHeight="1" x14ac:dyDescent="0.25"/>
    <row r="52" customFormat="1" ht="24.95" customHeight="1" x14ac:dyDescent="0.25"/>
    <row r="53" customFormat="1" ht="24.95" customHeight="1" x14ac:dyDescent="0.25"/>
    <row r="54" customFormat="1" ht="24.95" customHeight="1" x14ac:dyDescent="0.25"/>
    <row r="55" customFormat="1" ht="24.95" customHeight="1" x14ac:dyDescent="0.25"/>
    <row r="56" customFormat="1" ht="24.95" customHeight="1" x14ac:dyDescent="0.25"/>
    <row r="57" customFormat="1" ht="24.95" customHeight="1" x14ac:dyDescent="0.25"/>
    <row r="58" customFormat="1" ht="24.95" customHeight="1" x14ac:dyDescent="0.25"/>
    <row r="59" customFormat="1" ht="24.95" customHeight="1" x14ac:dyDescent="0.25"/>
    <row r="60" customFormat="1" ht="24.95" customHeight="1" x14ac:dyDescent="0.25"/>
    <row r="61" customFormat="1" ht="24.95" customHeight="1" x14ac:dyDescent="0.25"/>
    <row r="62" customFormat="1" ht="24.95" customHeight="1" x14ac:dyDescent="0.25"/>
    <row r="63" customFormat="1" ht="24.95" customHeight="1" x14ac:dyDescent="0.25"/>
    <row r="64" customFormat="1" ht="24.95" customHeight="1" x14ac:dyDescent="0.25"/>
    <row r="65" customFormat="1" ht="24.95" customHeight="1" x14ac:dyDescent="0.25"/>
    <row r="66" customFormat="1" ht="24.95" customHeight="1" x14ac:dyDescent="0.25"/>
    <row r="67" customFormat="1" ht="24.95" customHeight="1" x14ac:dyDescent="0.25"/>
    <row r="68" customFormat="1" ht="24.95" customHeight="1" x14ac:dyDescent="0.25"/>
    <row r="69" customFormat="1" ht="24.95" customHeight="1" x14ac:dyDescent="0.25"/>
    <row r="70" customFormat="1" ht="24.95" customHeight="1" x14ac:dyDescent="0.25"/>
    <row r="71" customFormat="1" ht="24.95" customHeight="1" x14ac:dyDescent="0.25"/>
    <row r="72" customFormat="1" ht="24.95" customHeight="1" x14ac:dyDescent="0.25"/>
    <row r="73" customFormat="1" ht="24.95" customHeight="1" x14ac:dyDescent="0.25"/>
    <row r="74" customFormat="1" ht="24.95" customHeight="1" x14ac:dyDescent="0.25"/>
    <row r="75" customFormat="1" ht="24.95" customHeight="1" x14ac:dyDescent="0.25"/>
    <row r="76" customFormat="1" ht="24.95" customHeight="1" x14ac:dyDescent="0.25"/>
    <row r="77" customFormat="1" ht="24.95" customHeight="1" x14ac:dyDescent="0.25"/>
    <row r="78" customFormat="1" ht="24.95" customHeight="1" x14ac:dyDescent="0.25"/>
    <row r="79" customFormat="1" ht="24.95" customHeight="1" x14ac:dyDescent="0.25"/>
    <row r="80" customFormat="1" ht="24.95" customHeight="1" x14ac:dyDescent="0.25"/>
    <row r="81" customFormat="1" ht="24.95" customHeight="1" x14ac:dyDescent="0.25"/>
    <row r="82" customFormat="1" ht="24.95" customHeight="1" x14ac:dyDescent="0.25"/>
    <row r="83" customFormat="1" ht="24.95" customHeight="1" x14ac:dyDescent="0.25"/>
    <row r="84" customFormat="1" ht="24.95" customHeight="1" x14ac:dyDescent="0.25"/>
    <row r="85" customFormat="1" ht="24.95" customHeight="1" x14ac:dyDescent="0.25"/>
    <row r="86" customFormat="1" ht="24.95" customHeight="1" x14ac:dyDescent="0.25"/>
    <row r="87" customFormat="1" ht="24.95" customHeight="1" x14ac:dyDescent="0.25"/>
    <row r="88" customFormat="1" ht="24.95" customHeight="1" x14ac:dyDescent="0.25"/>
    <row r="89" customFormat="1" ht="24.95" customHeight="1" x14ac:dyDescent="0.25"/>
    <row r="90" customFormat="1" ht="24.95" customHeight="1" x14ac:dyDescent="0.25"/>
    <row r="91" customFormat="1" ht="24.95" customHeight="1" x14ac:dyDescent="0.25"/>
    <row r="92" customFormat="1" ht="24.95" customHeight="1" x14ac:dyDescent="0.25"/>
    <row r="93" customFormat="1" ht="24.95" customHeight="1" x14ac:dyDescent="0.25"/>
    <row r="94" customFormat="1" ht="24.95" customHeight="1" x14ac:dyDescent="0.25"/>
    <row r="95" customFormat="1" ht="24.95" customHeight="1" x14ac:dyDescent="0.25"/>
    <row r="96" customFormat="1" ht="24.95" customHeight="1" x14ac:dyDescent="0.25"/>
    <row r="97" customFormat="1" ht="24.95" customHeight="1" x14ac:dyDescent="0.25"/>
    <row r="98" customFormat="1" ht="24.95" customHeight="1" x14ac:dyDescent="0.25"/>
    <row r="99" customFormat="1" ht="24.95" customHeight="1" x14ac:dyDescent="0.25"/>
    <row r="100" customFormat="1" ht="24.95" customHeight="1" x14ac:dyDescent="0.25"/>
    <row r="101" customFormat="1" ht="24.95" customHeight="1" x14ac:dyDescent="0.25"/>
    <row r="102" customFormat="1" ht="24.95" customHeight="1" x14ac:dyDescent="0.25"/>
    <row r="103" customFormat="1" ht="24.95" customHeight="1" x14ac:dyDescent="0.25"/>
    <row r="104" customFormat="1" ht="24.95" customHeight="1" x14ac:dyDescent="0.25"/>
    <row r="105" customFormat="1" ht="24.95" customHeight="1" x14ac:dyDescent="0.25"/>
    <row r="106" customFormat="1" ht="24.95" customHeight="1" x14ac:dyDescent="0.25"/>
    <row r="107" customFormat="1" ht="24.95" customHeight="1" x14ac:dyDescent="0.25"/>
    <row r="108" customFormat="1" ht="24.95" customHeight="1" x14ac:dyDescent="0.25"/>
    <row r="109" customFormat="1" ht="24.95" customHeight="1" x14ac:dyDescent="0.25"/>
    <row r="110" customFormat="1" ht="24.95" customHeight="1" x14ac:dyDescent="0.25"/>
    <row r="111" customFormat="1" ht="24.95" customHeight="1" x14ac:dyDescent="0.25"/>
    <row r="112" customFormat="1" ht="24.95" customHeight="1" x14ac:dyDescent="0.25"/>
    <row r="113" customFormat="1" ht="24.95" customHeight="1" x14ac:dyDescent="0.25"/>
    <row r="114" customFormat="1" ht="24.95" customHeight="1" x14ac:dyDescent="0.25"/>
    <row r="115" customFormat="1" ht="24.95" customHeight="1" x14ac:dyDescent="0.25"/>
    <row r="116" customFormat="1" ht="24.95" customHeight="1" x14ac:dyDescent="0.25"/>
    <row r="117" customFormat="1" ht="24.95" customHeight="1" x14ac:dyDescent="0.25"/>
    <row r="118" customFormat="1" ht="24.95" customHeight="1" x14ac:dyDescent="0.25"/>
    <row r="119" customFormat="1" ht="24.95" customHeight="1" x14ac:dyDescent="0.25"/>
    <row r="120" customFormat="1" ht="24.95" customHeight="1" x14ac:dyDescent="0.25"/>
    <row r="121" customFormat="1" ht="24.95" customHeight="1" x14ac:dyDescent="0.25"/>
    <row r="122" customFormat="1" ht="24.95" customHeight="1" x14ac:dyDescent="0.25"/>
    <row r="123" customFormat="1" ht="24.95" customHeight="1" x14ac:dyDescent="0.25"/>
    <row r="124" customFormat="1" ht="24.95" customHeight="1" x14ac:dyDescent="0.25"/>
    <row r="125" customFormat="1" ht="24.95" customHeight="1" x14ac:dyDescent="0.25"/>
    <row r="126" customFormat="1" ht="24.95" customHeight="1" x14ac:dyDescent="0.25"/>
    <row r="127" customFormat="1" ht="24.95" customHeight="1" x14ac:dyDescent="0.25"/>
    <row r="128" customFormat="1" ht="24.95" customHeight="1" x14ac:dyDescent="0.25"/>
    <row r="129" customFormat="1" ht="24.95" customHeight="1" x14ac:dyDescent="0.25"/>
    <row r="130" customFormat="1" ht="24.95" customHeight="1" x14ac:dyDescent="0.25"/>
    <row r="131" customFormat="1" ht="24.95" customHeight="1" x14ac:dyDescent="0.25"/>
    <row r="132" customFormat="1" ht="24.95" customHeight="1" x14ac:dyDescent="0.25"/>
    <row r="133" customFormat="1" ht="24.95" customHeight="1" x14ac:dyDescent="0.25"/>
    <row r="134" customFormat="1" ht="24.95" customHeight="1" x14ac:dyDescent="0.25"/>
    <row r="135" customFormat="1" ht="24.95" customHeight="1" x14ac:dyDescent="0.25"/>
    <row r="136" customFormat="1" ht="24.95" customHeight="1" x14ac:dyDescent="0.25"/>
    <row r="137" customFormat="1" ht="24.95" customHeight="1" x14ac:dyDescent="0.25"/>
    <row r="138" customFormat="1" ht="24.95" customHeight="1" x14ac:dyDescent="0.25"/>
    <row r="139" customFormat="1" ht="24.95" customHeight="1" x14ac:dyDescent="0.25"/>
    <row r="140" customFormat="1" ht="24.95" customHeight="1" x14ac:dyDescent="0.25"/>
    <row r="141" customFormat="1" ht="24.95" customHeight="1" x14ac:dyDescent="0.25"/>
    <row r="142" customFormat="1" ht="24.95" customHeight="1" x14ac:dyDescent="0.25"/>
    <row r="143" customFormat="1" ht="24.95" customHeight="1" x14ac:dyDescent="0.25"/>
    <row r="144" customFormat="1" ht="24.95" customHeight="1" x14ac:dyDescent="0.25"/>
    <row r="145" customFormat="1" ht="24.95" customHeight="1" x14ac:dyDescent="0.25"/>
    <row r="146" customFormat="1" ht="24.95" customHeight="1" x14ac:dyDescent="0.25"/>
    <row r="147" customFormat="1" ht="24.95" customHeight="1" x14ac:dyDescent="0.25"/>
    <row r="148" customFormat="1" ht="24.95" customHeight="1" x14ac:dyDescent="0.25"/>
    <row r="149" customFormat="1" ht="24.95" customHeight="1" x14ac:dyDescent="0.25"/>
    <row r="150" customFormat="1" ht="24.95" customHeight="1" x14ac:dyDescent="0.25"/>
    <row r="151" customFormat="1" ht="24.95" customHeight="1" x14ac:dyDescent="0.25"/>
    <row r="152" customFormat="1" ht="24.95" customHeight="1" x14ac:dyDescent="0.25"/>
    <row r="153" customFormat="1" ht="24.95" customHeight="1" x14ac:dyDescent="0.25"/>
    <row r="154" customFormat="1" ht="24.95" customHeight="1" x14ac:dyDescent="0.25"/>
    <row r="155" customFormat="1" ht="24.95" customHeight="1" x14ac:dyDescent="0.25"/>
    <row r="156" customFormat="1" ht="24.95" customHeight="1" x14ac:dyDescent="0.25"/>
    <row r="157" customFormat="1" ht="24.95" customHeight="1" x14ac:dyDescent="0.25"/>
    <row r="158" customFormat="1" ht="24.95" customHeight="1" x14ac:dyDescent="0.25"/>
    <row r="159" customFormat="1" ht="24.95" customHeight="1" x14ac:dyDescent="0.25"/>
    <row r="160" customFormat="1" ht="24.95" customHeight="1" x14ac:dyDescent="0.25"/>
    <row r="161" customFormat="1" ht="24.95" customHeight="1" x14ac:dyDescent="0.25"/>
    <row r="162" customFormat="1" ht="24.95" customHeight="1" x14ac:dyDescent="0.25"/>
    <row r="163" customFormat="1" ht="24.95" customHeight="1" x14ac:dyDescent="0.25"/>
    <row r="164" customFormat="1" ht="24.95" customHeight="1" x14ac:dyDescent="0.25"/>
    <row r="165" customFormat="1" ht="24.95" customHeight="1" x14ac:dyDescent="0.25"/>
    <row r="166" customFormat="1" ht="24.95" customHeight="1" x14ac:dyDescent="0.25"/>
    <row r="167" customFormat="1" ht="24.95" customHeight="1" x14ac:dyDescent="0.25"/>
    <row r="168" customFormat="1" ht="24.95" customHeight="1" x14ac:dyDescent="0.25"/>
    <row r="169" customFormat="1" ht="24.95" customHeight="1" x14ac:dyDescent="0.25"/>
    <row r="170" customFormat="1" ht="24.95" customHeight="1" x14ac:dyDescent="0.25"/>
    <row r="171" customFormat="1" ht="24.95" customHeight="1" x14ac:dyDescent="0.25"/>
    <row r="172" customFormat="1" ht="24.95" customHeight="1" x14ac:dyDescent="0.25"/>
    <row r="173" customFormat="1" ht="24.95" customHeight="1" x14ac:dyDescent="0.25"/>
    <row r="174" customFormat="1" ht="24.95" customHeight="1" x14ac:dyDescent="0.25"/>
    <row r="175" customFormat="1" ht="24.95" customHeight="1" x14ac:dyDescent="0.25"/>
    <row r="176" customFormat="1" ht="24.95" customHeight="1" x14ac:dyDescent="0.25"/>
    <row r="177" customFormat="1" ht="24.95" customHeight="1" x14ac:dyDescent="0.25"/>
    <row r="178" customFormat="1" ht="24.95" customHeight="1" x14ac:dyDescent="0.25"/>
    <row r="179" customFormat="1" ht="24.95" customHeight="1" x14ac:dyDescent="0.25"/>
    <row r="180" customFormat="1" ht="24.95" customHeight="1" x14ac:dyDescent="0.25"/>
    <row r="181" customFormat="1" ht="24.95" customHeight="1" x14ac:dyDescent="0.25"/>
    <row r="182" customFormat="1" ht="24.95" customHeight="1" x14ac:dyDescent="0.25"/>
    <row r="183" customFormat="1" ht="24.95" customHeight="1" x14ac:dyDescent="0.25"/>
    <row r="184" customFormat="1" ht="24.95" customHeight="1" x14ac:dyDescent="0.25"/>
    <row r="185" customFormat="1" ht="24.95" customHeight="1" x14ac:dyDescent="0.25"/>
    <row r="186" customFormat="1" ht="24.95" customHeight="1" x14ac:dyDescent="0.25"/>
    <row r="187" customFormat="1" ht="24.95" customHeight="1" x14ac:dyDescent="0.25"/>
    <row r="188" customFormat="1" ht="24.95" customHeight="1" x14ac:dyDescent="0.25"/>
    <row r="189" customFormat="1" ht="24.95" customHeight="1" x14ac:dyDescent="0.25"/>
    <row r="190" customFormat="1" ht="24.95" customHeight="1" x14ac:dyDescent="0.25"/>
    <row r="191" customFormat="1" ht="24.95" customHeight="1" x14ac:dyDescent="0.25"/>
    <row r="192" customFormat="1" ht="24.95" customHeight="1" x14ac:dyDescent="0.25"/>
    <row r="193" customFormat="1" ht="24.95" customHeight="1" x14ac:dyDescent="0.25"/>
    <row r="194" customFormat="1" ht="24.95" customHeight="1" x14ac:dyDescent="0.25"/>
    <row r="195" customFormat="1" ht="24.95" customHeight="1" x14ac:dyDescent="0.25"/>
    <row r="196" customFormat="1" ht="24.95" customHeight="1" x14ac:dyDescent="0.25"/>
    <row r="197" customFormat="1" ht="24.95" customHeight="1" x14ac:dyDescent="0.25"/>
    <row r="198" customFormat="1" ht="24.95" customHeight="1" x14ac:dyDescent="0.25"/>
    <row r="199" customFormat="1" ht="24.95" customHeight="1" x14ac:dyDescent="0.25"/>
    <row r="200" customFormat="1" ht="24.95" customHeight="1" x14ac:dyDescent="0.25"/>
    <row r="201" customFormat="1" ht="24.95" customHeight="1" x14ac:dyDescent="0.25"/>
    <row r="202" customFormat="1" ht="24.95" customHeight="1" x14ac:dyDescent="0.25"/>
    <row r="203" customFormat="1" ht="24.95" customHeight="1" x14ac:dyDescent="0.25"/>
    <row r="204" customFormat="1" ht="24.95" customHeight="1" x14ac:dyDescent="0.25"/>
    <row r="205" customFormat="1" ht="24.95" customHeight="1" x14ac:dyDescent="0.25"/>
    <row r="206" customFormat="1" ht="24.95" customHeight="1" x14ac:dyDescent="0.25"/>
    <row r="207" customFormat="1" ht="24.95" customHeight="1" x14ac:dyDescent="0.25"/>
    <row r="208" customFormat="1" ht="24.95" customHeight="1" x14ac:dyDescent="0.25"/>
    <row r="209" customFormat="1" ht="24.95" customHeight="1" x14ac:dyDescent="0.25"/>
    <row r="210" customFormat="1" ht="24.95" customHeight="1" x14ac:dyDescent="0.25"/>
    <row r="211" customFormat="1" ht="24.95" customHeight="1" x14ac:dyDescent="0.25"/>
    <row r="212" customFormat="1" ht="24.95" customHeight="1" x14ac:dyDescent="0.25"/>
    <row r="213" customFormat="1" ht="24.95" customHeight="1" x14ac:dyDescent="0.25"/>
    <row r="214" customFormat="1" ht="24.95" customHeight="1" x14ac:dyDescent="0.25"/>
    <row r="215" customFormat="1" ht="24.95" customHeight="1" x14ac:dyDescent="0.25"/>
    <row r="216" customFormat="1" ht="24.95" customHeight="1" x14ac:dyDescent="0.25"/>
    <row r="217" customFormat="1" ht="24.95" customHeight="1" x14ac:dyDescent="0.25"/>
    <row r="218" customFormat="1" ht="24.95" customHeight="1" x14ac:dyDescent="0.25"/>
    <row r="219" customFormat="1" ht="24.95" customHeight="1" x14ac:dyDescent="0.25"/>
    <row r="220" customFormat="1" ht="24.95" customHeight="1" x14ac:dyDescent="0.25"/>
    <row r="221" customFormat="1" ht="24.95" customHeight="1" x14ac:dyDescent="0.25"/>
    <row r="222" customFormat="1" ht="24.95" customHeight="1" x14ac:dyDescent="0.25"/>
    <row r="223" customFormat="1" ht="24.95" customHeight="1" x14ac:dyDescent="0.25"/>
    <row r="224" customFormat="1" ht="24.95" customHeight="1" x14ac:dyDescent="0.25"/>
    <row r="225" customFormat="1" ht="24.95" customHeight="1" x14ac:dyDescent="0.25"/>
    <row r="226" customFormat="1" ht="24.95" customHeight="1" x14ac:dyDescent="0.25"/>
    <row r="227" customFormat="1" ht="24.95" customHeight="1" x14ac:dyDescent="0.25"/>
    <row r="228" customFormat="1" ht="24.95" customHeight="1" x14ac:dyDescent="0.25"/>
    <row r="229" customFormat="1" ht="24.95" customHeight="1" x14ac:dyDescent="0.25"/>
    <row r="230" customFormat="1" ht="24.95" customHeight="1" x14ac:dyDescent="0.25"/>
    <row r="231" customFormat="1" ht="24.95" customHeight="1" x14ac:dyDescent="0.25"/>
    <row r="232" customFormat="1" ht="24.95" customHeight="1" x14ac:dyDescent="0.25"/>
    <row r="233" customFormat="1" ht="24.95" customHeight="1" x14ac:dyDescent="0.25"/>
    <row r="234" customFormat="1" ht="24.95" customHeight="1" x14ac:dyDescent="0.25"/>
    <row r="235" customFormat="1" ht="24.95" customHeight="1" x14ac:dyDescent="0.25"/>
    <row r="236" customFormat="1" ht="24.95" customHeight="1" x14ac:dyDescent="0.25"/>
    <row r="237" customFormat="1" ht="24.95" customHeight="1" x14ac:dyDescent="0.25"/>
    <row r="238" customFormat="1" ht="24.95" customHeight="1" x14ac:dyDescent="0.25"/>
    <row r="239" customFormat="1" ht="24.95" customHeight="1" x14ac:dyDescent="0.25"/>
    <row r="240" customFormat="1" ht="24.95" customHeight="1" x14ac:dyDescent="0.25"/>
    <row r="241" customFormat="1" ht="24.95" customHeight="1" x14ac:dyDescent="0.25"/>
    <row r="242" customFormat="1" ht="24.95" customHeight="1" x14ac:dyDescent="0.25"/>
    <row r="243" customFormat="1" ht="24.95" customHeight="1" x14ac:dyDescent="0.25"/>
    <row r="244" customFormat="1" ht="24.95" customHeight="1" x14ac:dyDescent="0.25"/>
    <row r="245" customFormat="1" ht="24.95" customHeight="1" x14ac:dyDescent="0.25"/>
    <row r="246" customFormat="1" ht="24.95" customHeight="1" x14ac:dyDescent="0.25"/>
    <row r="247" customFormat="1" ht="24.95" customHeight="1" x14ac:dyDescent="0.25"/>
    <row r="248" customFormat="1" ht="24.95" customHeight="1" x14ac:dyDescent="0.25"/>
    <row r="249" customFormat="1" ht="24.95" customHeight="1" x14ac:dyDescent="0.25"/>
    <row r="250" customFormat="1" ht="24.95" customHeight="1" x14ac:dyDescent="0.25"/>
    <row r="251" customFormat="1" ht="24.95" customHeight="1" x14ac:dyDescent="0.25"/>
    <row r="252" customFormat="1" ht="24.95" customHeight="1" x14ac:dyDescent="0.25"/>
    <row r="253" customFormat="1" ht="24.95" customHeight="1" x14ac:dyDescent="0.25"/>
    <row r="254" customFormat="1" ht="24.95" customHeight="1" x14ac:dyDescent="0.25"/>
    <row r="255" customFormat="1" ht="24.95" customHeight="1" x14ac:dyDescent="0.25"/>
    <row r="256" customFormat="1" ht="24.95" customHeight="1" x14ac:dyDescent="0.25"/>
    <row r="257" customFormat="1" ht="24.95" customHeight="1" x14ac:dyDescent="0.25"/>
    <row r="258" customFormat="1" ht="24.95" customHeight="1" x14ac:dyDescent="0.25"/>
    <row r="259" customFormat="1" ht="24.95" customHeight="1" x14ac:dyDescent="0.25"/>
    <row r="260" customFormat="1" ht="24.95" customHeight="1" x14ac:dyDescent="0.25"/>
    <row r="261" customFormat="1" ht="24.95" customHeight="1" x14ac:dyDescent="0.25"/>
    <row r="262" customFormat="1" ht="24.95" customHeight="1" x14ac:dyDescent="0.25"/>
    <row r="263" customFormat="1" ht="24.95" customHeight="1" x14ac:dyDescent="0.25"/>
    <row r="264" customFormat="1" ht="24.95" customHeight="1" x14ac:dyDescent="0.25"/>
    <row r="265" customFormat="1" ht="24.95" customHeight="1" x14ac:dyDescent="0.25"/>
    <row r="266" customFormat="1" ht="24.95" customHeight="1" x14ac:dyDescent="0.25"/>
    <row r="267" customFormat="1" ht="24.95" customHeight="1" x14ac:dyDescent="0.25"/>
    <row r="268" customFormat="1" ht="24.95" customHeight="1" x14ac:dyDescent="0.25"/>
    <row r="269" customFormat="1" ht="24.95" customHeight="1" x14ac:dyDescent="0.25"/>
    <row r="270" customFormat="1" ht="24.95" customHeight="1" x14ac:dyDescent="0.25"/>
    <row r="271" customFormat="1" ht="24.95" customHeight="1" x14ac:dyDescent="0.25"/>
    <row r="272" customFormat="1" ht="24.95" customHeight="1" x14ac:dyDescent="0.25"/>
    <row r="273" customFormat="1" ht="24.95" customHeight="1" x14ac:dyDescent="0.25"/>
    <row r="274" customFormat="1" ht="24.95" customHeight="1" x14ac:dyDescent="0.25"/>
    <row r="275" customFormat="1" ht="24.95" customHeight="1" x14ac:dyDescent="0.25"/>
    <row r="276" customFormat="1" ht="24.95" customHeight="1" x14ac:dyDescent="0.25"/>
    <row r="277" customFormat="1" ht="24.95" customHeight="1" x14ac:dyDescent="0.25"/>
    <row r="278" customFormat="1" ht="24.95" customHeight="1" x14ac:dyDescent="0.25"/>
    <row r="279" customFormat="1" ht="24.95" customHeight="1" x14ac:dyDescent="0.25"/>
    <row r="280" customFormat="1" ht="24.95" customHeight="1" x14ac:dyDescent="0.25"/>
    <row r="281" customFormat="1" ht="24.95" customHeight="1" x14ac:dyDescent="0.25"/>
    <row r="282" customFormat="1" ht="24.95" customHeight="1" x14ac:dyDescent="0.25"/>
    <row r="283" customFormat="1" ht="24.95" customHeight="1" x14ac:dyDescent="0.25"/>
    <row r="284" customFormat="1" ht="24.95" customHeight="1" x14ac:dyDescent="0.25"/>
    <row r="285" customFormat="1" ht="24.95" customHeight="1" x14ac:dyDescent="0.25"/>
    <row r="286" customFormat="1" ht="24.95" customHeight="1" x14ac:dyDescent="0.25"/>
    <row r="287" customFormat="1" ht="24.95" customHeight="1" x14ac:dyDescent="0.25"/>
    <row r="288" customFormat="1" ht="24.95" customHeight="1" x14ac:dyDescent="0.25"/>
    <row r="289" customFormat="1" ht="24.95" customHeight="1" x14ac:dyDescent="0.25"/>
    <row r="290" customFormat="1" ht="24.95" customHeight="1" x14ac:dyDescent="0.25"/>
    <row r="291" customFormat="1" ht="24.95" customHeight="1" x14ac:dyDescent="0.25"/>
    <row r="292" customFormat="1" ht="24.95" customHeight="1" x14ac:dyDescent="0.25"/>
    <row r="293" customFormat="1" ht="24.95" customHeight="1" x14ac:dyDescent="0.25"/>
    <row r="294" customFormat="1" ht="24.95" customHeight="1" x14ac:dyDescent="0.25"/>
    <row r="295" customFormat="1" ht="24.95" customHeight="1" x14ac:dyDescent="0.25"/>
    <row r="296" customFormat="1" ht="24.95" customHeight="1" x14ac:dyDescent="0.25"/>
    <row r="297" customFormat="1" ht="24.95" customHeight="1" x14ac:dyDescent="0.25"/>
    <row r="298" customFormat="1" ht="24.95" customHeight="1" x14ac:dyDescent="0.25"/>
    <row r="299" customFormat="1" ht="24.95" customHeight="1" x14ac:dyDescent="0.25"/>
    <row r="300" customFormat="1" ht="24.95" customHeight="1" x14ac:dyDescent="0.25"/>
    <row r="301" customFormat="1" ht="24.95" customHeight="1" x14ac:dyDescent="0.25"/>
    <row r="302" customFormat="1" ht="24.95" customHeight="1" x14ac:dyDescent="0.25"/>
    <row r="303" customFormat="1" ht="24.95" customHeight="1" x14ac:dyDescent="0.25"/>
    <row r="304" customFormat="1" ht="24.95" customHeight="1" x14ac:dyDescent="0.25"/>
    <row r="305" customFormat="1" ht="24.95" customHeight="1" x14ac:dyDescent="0.25"/>
    <row r="306" customFormat="1" ht="24.95" customHeight="1" x14ac:dyDescent="0.25"/>
    <row r="307" customFormat="1" ht="24.95" customHeight="1" x14ac:dyDescent="0.25"/>
    <row r="308" customFormat="1" ht="24.95" customHeight="1" x14ac:dyDescent="0.25"/>
    <row r="309" customFormat="1" ht="24.95" customHeight="1" x14ac:dyDescent="0.25"/>
    <row r="310" customFormat="1" ht="24.95" customHeight="1" x14ac:dyDescent="0.25"/>
    <row r="311" customFormat="1" ht="24.95" customHeight="1" x14ac:dyDescent="0.25"/>
    <row r="312" customFormat="1" ht="24.95" customHeight="1" x14ac:dyDescent="0.25"/>
    <row r="313" customFormat="1" ht="24.95" customHeight="1" x14ac:dyDescent="0.25"/>
    <row r="314" customFormat="1" ht="24.95" customHeight="1" x14ac:dyDescent="0.25"/>
    <row r="315" customFormat="1" ht="24.95" customHeight="1" x14ac:dyDescent="0.25"/>
    <row r="316" customFormat="1" ht="24.95" customHeight="1" x14ac:dyDescent="0.25"/>
    <row r="317" customFormat="1" ht="24.95" customHeight="1" x14ac:dyDescent="0.25"/>
    <row r="318" customFormat="1" ht="24.95" customHeight="1" x14ac:dyDescent="0.25"/>
    <row r="319" customFormat="1" ht="24.95" customHeight="1" x14ac:dyDescent="0.25"/>
    <row r="320" customFormat="1" ht="24.95" customHeight="1" x14ac:dyDescent="0.25"/>
    <row r="321" spans="25:45" ht="24.95" customHeight="1" x14ac:dyDescent="0.25"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25:45" ht="24.95" customHeight="1" x14ac:dyDescent="0.25"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25:45" ht="24.95" customHeight="1" x14ac:dyDescent="0.25"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25:45" ht="24.95" customHeight="1" x14ac:dyDescent="0.25"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25:45" ht="24.95" customHeight="1" x14ac:dyDescent="0.25"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25:45" ht="24.95" customHeight="1" x14ac:dyDescent="0.25"/>
    <row r="327" spans="25:45" ht="24.95" customHeight="1" x14ac:dyDescent="0.25"/>
    <row r="328" spans="25:45" ht="24.95" customHeight="1" x14ac:dyDescent="0.25"/>
    <row r="329" spans="25:45" ht="24.95" customHeight="1" x14ac:dyDescent="0.25"/>
    <row r="330" spans="25:45" ht="24.95" customHeight="1" x14ac:dyDescent="0.25"/>
    <row r="331" spans="25:45" ht="24.95" customHeight="1" x14ac:dyDescent="0.25"/>
    <row r="332" spans="25:45" ht="24.95" customHeight="1" x14ac:dyDescent="0.25"/>
    <row r="333" spans="25:45" ht="24.95" customHeight="1" x14ac:dyDescent="0.25"/>
    <row r="334" spans="25:45" ht="24.95" customHeight="1" x14ac:dyDescent="0.25"/>
    <row r="335" spans="25:45" ht="24.95" customHeight="1" x14ac:dyDescent="0.25"/>
    <row r="336" spans="25:45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C1:AS1" xr:uid="{4CFD1A53-F998-497D-B743-E396AC211728}">
    <sortState xmlns:xlrd2="http://schemas.microsoft.com/office/spreadsheetml/2017/richdata2" ref="C2:AS11">
      <sortCondition ref="C1"/>
    </sortState>
  </autoFilter>
  <phoneticPr fontId="53" type="noConversion"/>
  <conditionalFormatting sqref="F1:F11">
    <cfRule type="colorScale" priority="79">
      <colorScale>
        <cfvo type="num" val="15"/>
        <cfvo type="num" val="25"/>
        <cfvo type="num" val="32"/>
        <color rgb="FF63BE7B"/>
        <color rgb="FFFFEB84"/>
        <color rgb="FFF8696B"/>
      </colorScale>
    </cfRule>
  </conditionalFormatting>
  <conditionalFormatting sqref="H1:H104857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67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J1:J1048576">
    <cfRule type="colorScale" priority="6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K1:K1048576">
    <cfRule type="iconSet" priority="6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6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{D15E8FDA-D0B8-46CA-B999-66B48B73CCF2}</x14:id>
        </ext>
      </extLst>
    </cfRule>
  </conditionalFormatting>
  <conditionalFormatting sqref="P1:P1048576">
    <cfRule type="dataBar" priority="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{C0F4401D-09EC-49FA-9D9F-1AC315512980}</x14:id>
        </ext>
      </extLst>
    </cfRule>
    <cfRule type="iconSet" priority="4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iconSet" priority="4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{A92B0633-041B-4D9B-9386-45D85FFCC56A}</x14:id>
        </ext>
      </extLst>
    </cfRule>
  </conditionalFormatting>
  <conditionalFormatting sqref="M1:M1048576">
    <cfRule type="iconSet" priority="3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{E52F7FF7-E876-4B0B-A8FD-464358BABF1D}</x14:id>
        </ext>
      </extLst>
    </cfRule>
  </conditionalFormatting>
  <conditionalFormatting sqref="N1:N1048576">
    <cfRule type="iconSet" priority="3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{7ACF3AC7-8957-4A74-8587-39FE5FBD4900}</x14:id>
        </ext>
      </extLst>
    </cfRule>
  </conditionalFormatting>
  <conditionalFormatting sqref="O1:O1048576">
    <cfRule type="iconSet" priority="3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{37ACA1D4-4FF3-4351-805D-ECCB82064D64}</x14:id>
        </ext>
      </extLst>
    </cfRule>
  </conditionalFormatting>
  <conditionalFormatting sqref="U1:U1048576">
    <cfRule type="iconSet" priority="13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{8BC5F3CC-3DA9-49AF-AE48-0E177661C5E4}</x14:id>
        </ext>
      </extLst>
    </cfRule>
  </conditionalFormatting>
  <conditionalFormatting sqref="Q1:Q1048576">
    <cfRule type="iconSet" priority="2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iconSet" priority="1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iconSet" priority="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:T1048576">
    <cfRule type="iconSet" priority="1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iconSet" priority="2371599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dataBar" priority="2371600">
      <dataBar>
        <cfvo type="min"/>
        <cfvo type="max"/>
        <color rgb="FF920003"/>
      </dataBar>
      <extLst>
        <ext xmlns:x14="http://schemas.microsoft.com/office/spreadsheetml/2009/9/main" uri="{B025F937-C7B1-47D3-B67F-A62EFF666E3E}">
          <x14:id>{B2261D2F-2D6F-47AD-8594-ADA1B2EF375F}</x14:id>
        </ext>
      </extLst>
    </cfRule>
  </conditionalFormatting>
  <conditionalFormatting sqref="X1:X1048576">
    <cfRule type="iconSet" priority="2">
      <iconSet iconSet="3Arrows">
        <cfvo type="percent" val="0"/>
        <cfvo type="num" val="6.7"/>
        <cfvo type="num" val="7"/>
      </iconSet>
    </cfRule>
    <cfRule type="colorScale" priority="4">
      <colorScale>
        <cfvo type="num" val="6.6"/>
        <cfvo type="num" val="6.7"/>
        <cfvo type="num" val="7"/>
        <color rgb="FFF8696B"/>
        <color rgb="FFFFEB84"/>
        <color rgb="FF63BE7B"/>
      </colorScale>
    </cfRule>
  </conditionalFormatting>
  <conditionalFormatting sqref="W2:W11">
    <cfRule type="colorScale" priority="2562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5E8FDA-D0B8-46CA-B999-66B48B73CC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C0F4401D-09EC-49FA-9D9F-1AC315512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A92B0633-041B-4D9B-9386-45D85FFCC5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L1:L1048576</xm:sqref>
        </x14:conditionalFormatting>
        <x14:conditionalFormatting xmlns:xm="http://schemas.microsoft.com/office/excel/2006/main">
          <x14:cfRule type="dataBar" id="{E52F7FF7-E876-4B0B-A8FD-464358BABF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7ACF3AC7-8957-4A74-8587-39FE5FBD49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37ACA1D4-4FF3-4351-805D-ECCB82064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8BC5F3CC-3DA9-49AF-AE48-0E177661C5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B2261D2F-2D6F-47AD-8594-ADA1B2EF375F}">
            <x14:dataBar minLength="0" maxLength="100" border="1" gradient="0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0">
    <tabColor rgb="FF19C3FF"/>
  </sheetPr>
  <dimension ref="A1:GM1001"/>
  <sheetViews>
    <sheetView zoomScale="90" zoomScaleNormal="90" workbookViewId="0">
      <pane xSplit="5" ySplit="1" topLeftCell="F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2" max="2" width="30.7109375" customWidth="1"/>
    <col min="3" max="3" width="12.5703125" customWidth="1"/>
    <col min="4" max="4" width="23.7109375" customWidth="1"/>
    <col min="5" max="5" width="25.85546875" bestFit="1" customWidth="1"/>
    <col min="6" max="6" width="15.7109375" customWidth="1"/>
    <col min="7" max="7" width="18.28515625" customWidth="1"/>
    <col min="8" max="8" width="24" bestFit="1" customWidth="1"/>
    <col min="9" max="9" width="11.140625" customWidth="1"/>
    <col min="10" max="13" width="15.7109375" customWidth="1"/>
    <col min="14" max="16" width="15.7109375" style="13" customWidth="1"/>
    <col min="17" max="45" width="18.7109375" customWidth="1"/>
    <col min="46" max="47" width="20.7109375" customWidth="1"/>
    <col min="48" max="51" width="20.7109375" style="13" customWidth="1"/>
    <col min="52" max="128" width="20.7109375" customWidth="1"/>
    <col min="129" max="129" width="20.7109375" style="187" customWidth="1"/>
    <col min="130" max="131" width="20.7109375" customWidth="1"/>
    <col min="132" max="134" width="20.7109375" style="13" customWidth="1"/>
    <col min="135" max="135" width="20.7109375" customWidth="1"/>
    <col min="136" max="137" width="20.7109375" style="13" customWidth="1"/>
    <col min="138" max="138" width="8.7109375" style="1" customWidth="1"/>
    <col min="139" max="146" width="11.7109375" style="1" customWidth="1"/>
    <col min="147" max="147" width="11.7109375" style="150" customWidth="1"/>
    <col min="148" max="148" width="11.5703125" style="1" bestFit="1" customWidth="1"/>
    <col min="149" max="195" width="11.7109375" style="1" customWidth="1"/>
    <col min="202" max="202" width="14.5703125" bestFit="1" customWidth="1"/>
  </cols>
  <sheetData>
    <row r="1" spans="1:195" ht="50.1" customHeight="1" thickBot="1" x14ac:dyDescent="0.3">
      <c r="A1" s="268"/>
      <c r="B1" s="4" t="s">
        <v>20</v>
      </c>
      <c r="C1" s="4" t="s">
        <v>212</v>
      </c>
      <c r="D1" s="4" t="s">
        <v>502</v>
      </c>
      <c r="E1" s="4" t="s">
        <v>28</v>
      </c>
      <c r="F1" s="4" t="s">
        <v>1</v>
      </c>
      <c r="G1" s="4" t="s">
        <v>87</v>
      </c>
      <c r="H1" s="85" t="s">
        <v>3</v>
      </c>
      <c r="I1" s="4" t="s">
        <v>229</v>
      </c>
      <c r="J1" s="30" t="s">
        <v>119</v>
      </c>
      <c r="K1" s="30" t="s">
        <v>415</v>
      </c>
      <c r="L1" s="30" t="s">
        <v>416</v>
      </c>
      <c r="M1" s="30" t="s">
        <v>419</v>
      </c>
      <c r="N1" s="98" t="s">
        <v>38</v>
      </c>
      <c r="O1" s="98" t="s">
        <v>412</v>
      </c>
      <c r="P1" s="98" t="s">
        <v>411</v>
      </c>
      <c r="Q1" s="221" t="s">
        <v>22</v>
      </c>
      <c r="R1" s="221" t="s">
        <v>65</v>
      </c>
      <c r="S1" s="221" t="s">
        <v>213</v>
      </c>
      <c r="T1" s="221" t="s">
        <v>148</v>
      </c>
      <c r="U1" s="221" t="s">
        <v>190</v>
      </c>
      <c r="V1" s="221" t="s">
        <v>189</v>
      </c>
      <c r="W1" s="46" t="s">
        <v>7</v>
      </c>
      <c r="X1" s="46" t="s">
        <v>467</v>
      </c>
      <c r="Y1" s="46" t="s">
        <v>468</v>
      </c>
      <c r="Z1" s="46" t="s">
        <v>167</v>
      </c>
      <c r="AA1" s="46" t="s">
        <v>333</v>
      </c>
      <c r="AB1" s="46" t="s">
        <v>340</v>
      </c>
      <c r="AC1" s="46" t="s">
        <v>341</v>
      </c>
      <c r="AD1" s="41" t="s">
        <v>249</v>
      </c>
      <c r="AE1" s="41" t="s">
        <v>327</v>
      </c>
      <c r="AF1" s="379" t="s">
        <v>778</v>
      </c>
      <c r="AG1" s="379" t="s">
        <v>777</v>
      </c>
      <c r="AH1" s="41" t="s">
        <v>248</v>
      </c>
      <c r="AI1" s="41" t="s">
        <v>566</v>
      </c>
      <c r="AJ1" s="89" t="s">
        <v>543</v>
      </c>
      <c r="AK1" s="19" t="s">
        <v>228</v>
      </c>
      <c r="AL1" s="19" t="s">
        <v>565</v>
      </c>
      <c r="AM1" s="89" t="s">
        <v>400</v>
      </c>
      <c r="AN1" s="52" t="s">
        <v>366</v>
      </c>
      <c r="AO1" s="52" t="s">
        <v>367</v>
      </c>
      <c r="AP1" s="52" t="s">
        <v>476</v>
      </c>
      <c r="AQ1" s="52" t="s">
        <v>475</v>
      </c>
      <c r="AR1" s="151" t="s">
        <v>62</v>
      </c>
      <c r="AS1" s="151" t="s">
        <v>471</v>
      </c>
      <c r="AT1" s="37" t="s">
        <v>174</v>
      </c>
      <c r="AU1" s="37" t="s">
        <v>214</v>
      </c>
      <c r="AV1" s="26" t="s">
        <v>335</v>
      </c>
      <c r="AW1" s="26" t="s">
        <v>336</v>
      </c>
      <c r="AX1" s="26" t="s">
        <v>295</v>
      </c>
      <c r="AY1" s="26" t="s">
        <v>375</v>
      </c>
      <c r="AZ1" s="26" t="s">
        <v>104</v>
      </c>
      <c r="BA1" s="93" t="s">
        <v>180</v>
      </c>
      <c r="BB1" s="93" t="s">
        <v>110</v>
      </c>
      <c r="BC1" s="93" t="s">
        <v>376</v>
      </c>
      <c r="BD1" s="157" t="s">
        <v>245</v>
      </c>
      <c r="BE1" s="157" t="s">
        <v>377</v>
      </c>
      <c r="BF1" s="93" t="s">
        <v>210</v>
      </c>
      <c r="BG1" s="156" t="s">
        <v>69</v>
      </c>
      <c r="BH1" s="156" t="s">
        <v>486</v>
      </c>
      <c r="BI1" s="271" t="s">
        <v>355</v>
      </c>
      <c r="BJ1" s="271" t="s">
        <v>544</v>
      </c>
      <c r="BK1" s="272" t="s">
        <v>545</v>
      </c>
      <c r="BL1" s="272" t="s">
        <v>546</v>
      </c>
      <c r="BM1" s="272" t="s">
        <v>548</v>
      </c>
      <c r="BN1" s="273" t="s">
        <v>547</v>
      </c>
      <c r="BO1" s="26" t="s">
        <v>207</v>
      </c>
      <c r="BP1" s="4" t="s">
        <v>378</v>
      </c>
      <c r="BQ1" s="4" t="s">
        <v>379</v>
      </c>
      <c r="BR1" s="4" t="s">
        <v>208</v>
      </c>
      <c r="BS1" s="4" t="s">
        <v>98</v>
      </c>
      <c r="BT1" s="4" t="s">
        <v>380</v>
      </c>
      <c r="BU1" s="4" t="s">
        <v>209</v>
      </c>
      <c r="BV1" s="4" t="s">
        <v>381</v>
      </c>
      <c r="BW1" s="4" t="s">
        <v>99</v>
      </c>
      <c r="BX1" s="18" t="s">
        <v>382</v>
      </c>
      <c r="BY1" s="18" t="s">
        <v>383</v>
      </c>
      <c r="BZ1" s="18" t="s">
        <v>307</v>
      </c>
      <c r="CA1" s="18" t="s">
        <v>139</v>
      </c>
      <c r="CB1" s="100" t="s">
        <v>622</v>
      </c>
      <c r="CC1" s="100" t="s">
        <v>624</v>
      </c>
      <c r="CD1" s="100" t="s">
        <v>440</v>
      </c>
      <c r="CE1" s="100" t="s">
        <v>625</v>
      </c>
      <c r="CF1" s="100" t="s">
        <v>623</v>
      </c>
      <c r="CG1" s="104" t="s">
        <v>239</v>
      </c>
      <c r="CH1" s="104" t="s">
        <v>236</v>
      </c>
      <c r="CI1" s="105" t="s">
        <v>237</v>
      </c>
      <c r="CJ1" s="104" t="s">
        <v>238</v>
      </c>
      <c r="CK1" s="77" t="s">
        <v>191</v>
      </c>
      <c r="CL1" s="77" t="s">
        <v>192</v>
      </c>
      <c r="CM1" s="78" t="s">
        <v>193</v>
      </c>
      <c r="CN1" s="78" t="s">
        <v>194</v>
      </c>
      <c r="CO1" s="78" t="s">
        <v>195</v>
      </c>
      <c r="CP1" s="80" t="s">
        <v>196</v>
      </c>
      <c r="CQ1" s="80" t="s">
        <v>197</v>
      </c>
      <c r="CR1" s="81" t="s">
        <v>198</v>
      </c>
      <c r="CS1" s="81" t="s">
        <v>199</v>
      </c>
      <c r="CT1" s="82" t="s">
        <v>200</v>
      </c>
      <c r="CU1" s="26" t="s">
        <v>201</v>
      </c>
      <c r="CV1" s="26" t="s">
        <v>202</v>
      </c>
      <c r="CW1" s="26" t="s">
        <v>203</v>
      </c>
      <c r="CX1" s="149" t="s">
        <v>91</v>
      </c>
      <c r="CY1" s="149" t="s">
        <v>169</v>
      </c>
      <c r="CZ1" s="19" t="s">
        <v>417</v>
      </c>
      <c r="DA1" s="19" t="s">
        <v>204</v>
      </c>
      <c r="DB1" s="19" t="s">
        <v>205</v>
      </c>
      <c r="DC1" s="19" t="s">
        <v>418</v>
      </c>
      <c r="DD1" s="88" t="s">
        <v>393</v>
      </c>
      <c r="DE1" s="88" t="s">
        <v>241</v>
      </c>
      <c r="DF1" s="19" t="s">
        <v>242</v>
      </c>
      <c r="DG1" s="19" t="s">
        <v>420</v>
      </c>
      <c r="DH1" s="19" t="s">
        <v>474</v>
      </c>
      <c r="DI1" s="22" t="s">
        <v>246</v>
      </c>
      <c r="DJ1" s="22" t="s">
        <v>247</v>
      </c>
      <c r="DK1" s="40" t="s">
        <v>428</v>
      </c>
      <c r="DL1" s="40" t="s">
        <v>106</v>
      </c>
      <c r="DM1" s="40" t="s">
        <v>438</v>
      </c>
      <c r="DN1" s="171" t="s">
        <v>439</v>
      </c>
      <c r="DO1" s="17" t="s">
        <v>437</v>
      </c>
      <c r="DP1" s="19" t="s">
        <v>444</v>
      </c>
      <c r="DQ1" s="197" t="s">
        <v>423</v>
      </c>
      <c r="DR1" s="197" t="s">
        <v>424</v>
      </c>
      <c r="DS1" s="159" t="s">
        <v>345</v>
      </c>
      <c r="DT1" s="159" t="s">
        <v>346</v>
      </c>
      <c r="DU1" s="91" t="s">
        <v>168</v>
      </c>
      <c r="DV1" s="91" t="s">
        <v>220</v>
      </c>
      <c r="DW1" s="91" t="s">
        <v>221</v>
      </c>
      <c r="DX1" s="85" t="s">
        <v>343</v>
      </c>
      <c r="DY1" s="85" t="s">
        <v>211</v>
      </c>
      <c r="DZ1" s="322" t="s">
        <v>425</v>
      </c>
      <c r="EA1" s="40" t="s">
        <v>426</v>
      </c>
      <c r="EB1" s="40" t="s">
        <v>165</v>
      </c>
      <c r="EC1" s="43" t="s">
        <v>409</v>
      </c>
      <c r="ED1" s="43" t="s">
        <v>410</v>
      </c>
      <c r="EE1" s="37" t="s">
        <v>216</v>
      </c>
      <c r="EF1" s="110" t="s">
        <v>413</v>
      </c>
      <c r="EG1" s="110" t="s">
        <v>25</v>
      </c>
      <c r="EH1" s="289" t="s">
        <v>14</v>
      </c>
      <c r="EI1" s="290" t="s">
        <v>584</v>
      </c>
      <c r="EJ1" s="290" t="s">
        <v>502</v>
      </c>
      <c r="EK1" s="290" t="s">
        <v>20</v>
      </c>
      <c r="EL1" s="290" t="s">
        <v>1</v>
      </c>
      <c r="EM1" s="290" t="s">
        <v>0</v>
      </c>
      <c r="EN1" s="290" t="s">
        <v>29</v>
      </c>
      <c r="EO1" s="290" t="s">
        <v>40</v>
      </c>
      <c r="EP1" s="290" t="s">
        <v>2</v>
      </c>
      <c r="EQ1" s="290" t="s">
        <v>3</v>
      </c>
      <c r="ER1" s="290" t="s">
        <v>88</v>
      </c>
      <c r="ES1" s="290" t="s">
        <v>585</v>
      </c>
      <c r="ET1" s="290" t="s">
        <v>608</v>
      </c>
      <c r="EU1" s="290" t="s">
        <v>30</v>
      </c>
      <c r="EV1" s="290" t="s">
        <v>609</v>
      </c>
      <c r="EW1" s="290" t="s">
        <v>610</v>
      </c>
      <c r="EX1" s="290" t="s">
        <v>6</v>
      </c>
      <c r="EY1" s="290" t="s">
        <v>4</v>
      </c>
      <c r="EZ1" s="290" t="s">
        <v>163</v>
      </c>
      <c r="FA1" s="290" t="s">
        <v>177</v>
      </c>
      <c r="FB1" s="290" t="s">
        <v>7</v>
      </c>
      <c r="FC1" s="290" t="s">
        <v>164</v>
      </c>
      <c r="FD1" s="290" t="s">
        <v>603</v>
      </c>
      <c r="FE1" s="290" t="s">
        <v>604</v>
      </c>
      <c r="FF1" s="290" t="s">
        <v>15</v>
      </c>
      <c r="FG1" s="290" t="s">
        <v>16</v>
      </c>
      <c r="FH1" s="290" t="s">
        <v>606</v>
      </c>
      <c r="FI1" s="290" t="s">
        <v>605</v>
      </c>
      <c r="FJ1" s="290" t="s">
        <v>10</v>
      </c>
      <c r="FK1" s="290" t="s">
        <v>8</v>
      </c>
      <c r="FL1" s="290" t="s">
        <v>9</v>
      </c>
      <c r="FM1" s="290" t="s">
        <v>11</v>
      </c>
      <c r="FN1" s="290" t="s">
        <v>17</v>
      </c>
      <c r="FO1" s="290" t="s">
        <v>187</v>
      </c>
      <c r="FP1" s="290" t="s">
        <v>188</v>
      </c>
      <c r="FQ1" s="290" t="s">
        <v>103</v>
      </c>
      <c r="FR1" s="290" t="s">
        <v>595</v>
      </c>
      <c r="FS1" s="290" t="s">
        <v>41</v>
      </c>
      <c r="FT1" s="290" t="s">
        <v>550</v>
      </c>
      <c r="FU1" s="290" t="s">
        <v>551</v>
      </c>
      <c r="FV1" s="290" t="s">
        <v>92</v>
      </c>
      <c r="FW1" s="290" t="s">
        <v>93</v>
      </c>
      <c r="FX1" s="290" t="s">
        <v>619</v>
      </c>
      <c r="FY1" s="290" t="s">
        <v>616</v>
      </c>
      <c r="FZ1" s="290" t="s">
        <v>611</v>
      </c>
      <c r="GA1" s="290" t="s">
        <v>12</v>
      </c>
      <c r="GB1" s="290" t="s">
        <v>251</v>
      </c>
      <c r="GC1" s="290" t="s">
        <v>234</v>
      </c>
      <c r="GD1" s="290" t="s">
        <v>49</v>
      </c>
      <c r="GE1" s="290" t="s">
        <v>48</v>
      </c>
      <c r="GF1" s="290" t="s">
        <v>63</v>
      </c>
      <c r="GG1" s="290" t="s">
        <v>262</v>
      </c>
      <c r="GH1" s="290" t="s">
        <v>587</v>
      </c>
      <c r="GI1" s="290" t="s">
        <v>165</v>
      </c>
      <c r="GJ1" s="290" t="s">
        <v>5</v>
      </c>
      <c r="GK1" s="290" t="s">
        <v>102</v>
      </c>
      <c r="GL1" s="290" t="s">
        <v>18</v>
      </c>
      <c r="GM1" s="291" t="s">
        <v>600</v>
      </c>
    </row>
    <row r="2" spans="1:195" ht="24.95" customHeight="1" thickBot="1" x14ac:dyDescent="0.3">
      <c r="A2" s="29" t="str">
        <f t="shared" ref="A2:A11" si="0">ROW()-1 &amp; "º"</f>
        <v>1º</v>
      </c>
      <c r="B2" s="69" t="str">
        <f t="shared" ref="B2:B11" si="1">EK2</f>
        <v>Cristiano</v>
      </c>
      <c r="C2" s="86" t="str">
        <f t="shared" ref="C2:C11" si="2">EI2</f>
        <v>BRA</v>
      </c>
      <c r="D2" s="376" t="str">
        <f t="shared" ref="D2:D11" si="3">EJ2</f>
        <v>MO (DE)</v>
      </c>
      <c r="E2" s="253" t="str">
        <f t="shared" ref="E2:E11" si="4">EM2</f>
        <v>São José (SP)</v>
      </c>
      <c r="F2" s="36">
        <f t="shared" ref="F2:F11" si="5">EL2</f>
        <v>24</v>
      </c>
      <c r="G2" s="370">
        <f t="shared" ref="G2:G11" si="6">ER2</f>
        <v>46721</v>
      </c>
      <c r="H2" s="327" t="str">
        <f t="shared" ref="H2:H11" si="7">EQ2</f>
        <v>€5,5m p/m</v>
      </c>
      <c r="I2" s="96">
        <f t="shared" ref="I2:I11" si="8">AVERAGE(J:J)</f>
        <v>2.8022222222222224</v>
      </c>
      <c r="J2" s="194">
        <f t="shared" ref="J2:J11" si="9">IFERROR(ES2/90,0)</f>
        <v>2.5555555555555554</v>
      </c>
      <c r="K2" s="194">
        <f t="shared" ref="K2:K11" si="10">IFERROR(IF(ISERROR(FIND("(",ET2)), VALUE(ET2), VALUE(LEFT(ET2,FIND("(",ET2)-2)) + VALUE(MID(ET2,FIND("(",ET2)+1,FIND(")",ET2)-FIND("(",ET2)-1))),0)</f>
        <v>3</v>
      </c>
      <c r="L2" s="194">
        <f t="shared" ref="L2:L11" si="11">IFERROR(ES2/K2,0)</f>
        <v>76.666666666666671</v>
      </c>
      <c r="M2" s="195">
        <f t="shared" ref="M2:M11" si="12">IFERROR(IF(ISERROR(FIND("(",ET2)), "100%", TEXT(VALUE(LEFT(ET2,FIND("(",ET2)-2)) / (VALUE(LEFT(ET2,FIND("(",ET2)-2)) + VALUE(MID(ET2,FIND("(",ET2)+1,FIND(")",ET2)-FIND("(",ET2)-1))),"0%")),0)*1</f>
        <v>1</v>
      </c>
      <c r="N2" s="6">
        <f t="shared" ref="N2:N11" si="13">EU2</f>
        <v>1</v>
      </c>
      <c r="O2" s="24">
        <f t="shared" ref="O2:O11" si="14">IFERROR((ES2/EU2),5400)</f>
        <v>230</v>
      </c>
      <c r="P2" s="21">
        <f t="shared" ref="P2:P11" si="15">IFERROR((N2*1)/J2,0)</f>
        <v>0.39130434782608697</v>
      </c>
      <c r="Q2" s="58">
        <f t="shared" ref="Q2:Q11" si="16">EV2</f>
        <v>1</v>
      </c>
      <c r="R2" s="58">
        <f t="shared" ref="R2:R11" si="17">EW2</f>
        <v>0</v>
      </c>
      <c r="S2" s="58">
        <f t="shared" ref="S2:S11" si="18">Q2+R2</f>
        <v>1</v>
      </c>
      <c r="T2" s="76">
        <f t="shared" ref="T2:T11" si="19">IFERROR(Q2/J2,0)</f>
        <v>0.39130434782608697</v>
      </c>
      <c r="U2" s="76">
        <f t="shared" ref="U2:U11" si="20">IFERROR(R2/J2,0)</f>
        <v>0</v>
      </c>
      <c r="V2" s="76">
        <f t="shared" ref="V2:V11" si="21">IFERROR((Q2+R2)/J2,0)</f>
        <v>0.39130434782608697</v>
      </c>
      <c r="W2" s="76">
        <f t="shared" ref="W2:W11" si="22">SUBSTITUTE(FB2,".","," )*1</f>
        <v>0.21</v>
      </c>
      <c r="X2" s="76">
        <f t="shared" ref="X2:X11" si="23">IFERROR(W2-(GJ2*0.79),0)</f>
        <v>0.21</v>
      </c>
      <c r="Y2" s="76">
        <f t="shared" ref="Y2:Y11" si="24">IFERROR(X2/J2,0)</f>
        <v>8.2173913043478264E-2</v>
      </c>
      <c r="Z2" s="76">
        <f t="shared" ref="Z2:Z11" si="25">SUBSTITUTE(FC2,".","," )*1</f>
        <v>0.73</v>
      </c>
      <c r="AA2" s="76">
        <f t="shared" ref="AA2:AA11" si="26">IFERROR(Z2/J2,0)</f>
        <v>0.28565217391304348</v>
      </c>
      <c r="AB2" s="76">
        <f t="shared" ref="AB2:AB11" si="27">IFERROR(X2+Z2,0)</f>
        <v>0.94</v>
      </c>
      <c r="AC2" s="76">
        <f t="shared" ref="AC2:AC11" si="28">Y2+AA2</f>
        <v>0.36782608695652175</v>
      </c>
      <c r="AD2" s="6">
        <f t="shared" ref="AD2:AD11" si="29">FK2</f>
        <v>1</v>
      </c>
      <c r="AE2" s="5">
        <f t="shared" ref="AE2:AE11" si="30">IFERROR(FK2/J2,0)</f>
        <v>0.39130434782608697</v>
      </c>
      <c r="AF2" s="6">
        <f t="shared" ref="AF2:AF11" si="31">FK2-FL2</f>
        <v>0</v>
      </c>
      <c r="AG2" s="5">
        <f t="shared" ref="AG2:AG11" si="32">AF2/J2</f>
        <v>0</v>
      </c>
      <c r="AH2" s="6">
        <f t="shared" ref="AH2:AH11" si="33">FL2</f>
        <v>1</v>
      </c>
      <c r="AI2" s="5">
        <f t="shared" ref="AI2:AI11" si="34">IFERROR(FL2/J2,0)</f>
        <v>0.39130434782608697</v>
      </c>
      <c r="AJ2" s="21">
        <f t="shared" ref="AJ2:AJ11" si="35">IFERROR(AH2/AD2,0)</f>
        <v>1</v>
      </c>
      <c r="AK2" s="76">
        <f t="shared" ref="AK2:AK11" si="36">IFERROR((FK2-GJ2)/(EV2-GK2),50)</f>
        <v>1</v>
      </c>
      <c r="AL2" s="76">
        <f t="shared" ref="AL2:AL11" si="37">IFERROR((FL2-GJ2)/(EV2-GK2),50)</f>
        <v>1</v>
      </c>
      <c r="AM2" s="20">
        <f t="shared" ref="AM2:AM11" si="38">IFERROR((EV2-GK2)/(FK2-GJ2),0)</f>
        <v>1</v>
      </c>
      <c r="AN2" s="76">
        <f t="shared" ref="AN2:AN11" si="39">IFERROR(ES2/FK2,700)</f>
        <v>230</v>
      </c>
      <c r="AO2" s="76">
        <f t="shared" ref="AO2:AO11" si="40">IFERROR(ES2/FL2,700)</f>
        <v>230</v>
      </c>
      <c r="AP2" s="76">
        <f t="shared" ref="AP2:AP11" si="41">IFERROR(ES2/EV2,ES2)</f>
        <v>230</v>
      </c>
      <c r="AQ2" s="76">
        <f t="shared" ref="AQ2:AQ11" si="42">IFERROR(ES2/S2,ES2)</f>
        <v>230</v>
      </c>
      <c r="AR2" s="5">
        <f t="shared" ref="AR2:AR11" si="43">IFERROR(EV2-W2,0)</f>
        <v>0.79</v>
      </c>
      <c r="AS2" s="5">
        <f t="shared" ref="AS2:AS11" si="44">IFERROR((EV2 -GK2)-X2,0)</f>
        <v>0.79</v>
      </c>
      <c r="AT2" s="75">
        <f t="shared" ref="AT2:AT11" si="45">GA2</f>
        <v>2</v>
      </c>
      <c r="AU2" s="76">
        <f t="shared" ref="AU2:AU11" si="46">IFERROR(AT2/J2,0)</f>
        <v>0.78260869565217395</v>
      </c>
      <c r="AV2" s="75">
        <f t="shared" ref="AV2:AV11" si="47">FM2</f>
        <v>5</v>
      </c>
      <c r="AW2" s="75">
        <f t="shared" ref="AW2:AW11" si="48">FN2</f>
        <v>1</v>
      </c>
      <c r="AX2" s="75">
        <f t="shared" ref="AX2:AX11" si="49">AV2-AW2</f>
        <v>4</v>
      </c>
      <c r="AY2" s="76">
        <f t="shared" ref="AY2:AY11" si="50">IFERROR(AW2/J2,0)</f>
        <v>0.39130434782608697</v>
      </c>
      <c r="AZ2" s="79">
        <f t="shared" ref="AZ2:AZ11" si="51">IFERROR((AW2*1)/AV2,0)</f>
        <v>0.2</v>
      </c>
      <c r="BA2" s="75">
        <f t="shared" ref="BA2:BA11" si="52">FQ2+FD2</f>
        <v>5</v>
      </c>
      <c r="BB2" s="75">
        <f t="shared" ref="BB2:BB11" si="53">FR2</f>
        <v>3</v>
      </c>
      <c r="BC2" s="76">
        <f t="shared" ref="BC2:BC11" si="54">IFERROR(FR2/J2,0)</f>
        <v>1.173913043478261</v>
      </c>
      <c r="BD2" s="75">
        <f t="shared" ref="BD2:BD11" si="55">FQ2-FR2</f>
        <v>0</v>
      </c>
      <c r="BE2" s="76">
        <f t="shared" ref="BE2:BE11" si="56">IFERROR(BD2/J2,0)</f>
        <v>0</v>
      </c>
      <c r="BF2" s="79">
        <f t="shared" ref="BF2:BF11" si="57">IFERROR(BB2/BA2,0)</f>
        <v>0.6</v>
      </c>
      <c r="BG2" s="270">
        <f t="shared" ref="BG2:BG11" si="58">FD2</f>
        <v>2</v>
      </c>
      <c r="BH2" s="269">
        <f t="shared" ref="BH2:BH11" si="59">IFERROR(BG2/J2,0)</f>
        <v>0.78260869565217395</v>
      </c>
      <c r="BI2" s="270">
        <f t="shared" ref="BI2:BI11" si="60">GF2</f>
        <v>0</v>
      </c>
      <c r="BJ2" s="269">
        <f t="shared" ref="BJ2:BJ11" si="61">IFERROR(BI2/J2,0)</f>
        <v>0</v>
      </c>
      <c r="BK2" s="270">
        <f t="shared" ref="BK2:BK11" si="62">GG2</f>
        <v>0</v>
      </c>
      <c r="BL2" s="269">
        <f t="shared" ref="BL2:BL11" si="63">IFERROR(BK2/J2,0)</f>
        <v>0</v>
      </c>
      <c r="BM2" s="270">
        <f t="shared" ref="BM2:BM11" si="64">BI2+BK2</f>
        <v>0</v>
      </c>
      <c r="BN2" s="79">
        <f t="shared" ref="BN2:BN11" si="65">IFERROR(BM2/FD2,0)</f>
        <v>0</v>
      </c>
      <c r="BO2" s="76">
        <f t="shared" ref="BO2:BO11" si="66">IFERROR(EZ2-FA2,0)</f>
        <v>-18.8</v>
      </c>
      <c r="BP2" s="75">
        <f t="shared" ref="BP2:BP11" si="67">FO2</f>
        <v>33</v>
      </c>
      <c r="BQ2" s="75">
        <f t="shared" ref="BQ2:BQ11" si="68">FP2</f>
        <v>8</v>
      </c>
      <c r="BR2" s="158">
        <f t="shared" ref="BR2:BR11" si="69">IFERROR((BQ2*1)/BP2,0)</f>
        <v>0.24242424242424243</v>
      </c>
      <c r="BS2" s="75">
        <f t="shared" ref="BS2:BS11" si="70">FM2+FQ2+GE2+FD2+FO2</f>
        <v>43</v>
      </c>
      <c r="BT2" s="76">
        <f t="shared" ref="BT2:BT11" si="71">IFERROR(BS2/J2,0)</f>
        <v>16.826086956521742</v>
      </c>
      <c r="BU2" s="75">
        <f t="shared" ref="BU2:BU11" si="72">FN2+FR2+GE2+FP2</f>
        <v>12</v>
      </c>
      <c r="BV2" s="76">
        <f t="shared" ref="BV2:BV11" si="73">IFERROR(BU2/J2,0)</f>
        <v>4.6956521739130439</v>
      </c>
      <c r="BW2" s="158">
        <f t="shared" ref="BW2:BW11" si="74">IFERROR((BU2*1)/BS2,0)</f>
        <v>0.27906976744186046</v>
      </c>
      <c r="BX2" s="75">
        <f t="shared" ref="BX2:BX11" si="75">(GB2+GC2+FS2+GE2+GD2)</f>
        <v>3</v>
      </c>
      <c r="BY2" s="76">
        <f t="shared" ref="BY2:BY11" si="76">IFERROR(BX2/J2,0)</f>
        <v>1.173913043478261</v>
      </c>
      <c r="BZ2" s="75">
        <f t="shared" ref="BZ2:BZ11" si="77">IFERROR((FP2+FR2)+(GE2*1.5),0)</f>
        <v>11</v>
      </c>
      <c r="CA2" s="76">
        <f t="shared" ref="CA2:CA11" si="78">IFERROR(BZ2/J2,0)</f>
        <v>4.304347826086957</v>
      </c>
      <c r="CB2" s="306">
        <f t="shared" ref="CB2:CB11" si="79">FV2-FT2</f>
        <v>7</v>
      </c>
      <c r="CC2" s="307">
        <f t="shared" ref="CC2:CC11" si="80">CB2/J2</f>
        <v>2.7391304347826089</v>
      </c>
      <c r="CD2" s="306">
        <f t="shared" ref="CD2:CD11" si="81">FW2-FU2</f>
        <v>1</v>
      </c>
      <c r="CE2" s="307">
        <f t="shared" ref="CE2:CE11" si="82">CD2/J2</f>
        <v>0.39130434782608697</v>
      </c>
      <c r="CF2" s="305">
        <f t="shared" ref="CF2:CF11" si="83">IFERROR(CD2/CB2,0)</f>
        <v>0.14285714285714285</v>
      </c>
      <c r="CG2" s="306">
        <f t="shared" ref="CG2:CG11" si="84">GJ2</f>
        <v>0</v>
      </c>
      <c r="CH2" s="306">
        <f t="shared" ref="CH2:CH11" si="85">GK2</f>
        <v>0</v>
      </c>
      <c r="CI2" s="347">
        <f t="shared" ref="CI2:CI11" si="86">CG2-CH2</f>
        <v>0</v>
      </c>
      <c r="CJ2" s="346">
        <f t="shared" ref="CJ2:CJ11" si="87">IFERROR((CH2*1)/CG2,0.00000001)</f>
        <v>1E-8</v>
      </c>
      <c r="CK2" s="75">
        <f t="shared" ref="CK2:CK11" si="88">FV2+FJ2+GA2+FK2+EY2+FH2+(FY2*J2)</f>
        <v>81</v>
      </c>
      <c r="CL2" s="76">
        <f t="shared" ref="CL2:CL11" si="89">IFERROR(CK2/J2,0)</f>
        <v>31.695652173913047</v>
      </c>
      <c r="CM2" s="75">
        <f t="shared" ref="CM2:CM11" si="90">FW2+FJ2+GA2+FL2+EY2+FH2</f>
        <v>50</v>
      </c>
      <c r="CN2" s="76">
        <f t="shared" ref="CN2:CN11" si="91">IFERROR(CM2/J2,0)</f>
        <v>19.565217391304348</v>
      </c>
      <c r="CO2" s="79">
        <f t="shared" ref="CO2:CO11" si="92">IFERROR((CM2*1)/CK2,0)</f>
        <v>0.61728395061728392</v>
      </c>
      <c r="CP2" s="75">
        <f t="shared" ref="CP2:CP11" si="93">IFERROR((GH2*3)+FM2+FQ2+FS2+GD2+GB2+GC2+FD2,0)</f>
        <v>13</v>
      </c>
      <c r="CQ2" s="76">
        <f t="shared" ref="CQ2:CQ11" si="94">IFERROR(CP2/J2,0)</f>
        <v>5.0869565217391308</v>
      </c>
      <c r="CR2" s="75">
        <f t="shared" ref="CR2:CR11" si="95">IFERROR(FN2+FR2+FS2+GD2+GB2+GC2+GE2,0)</f>
        <v>7</v>
      </c>
      <c r="CS2" s="76">
        <f t="shared" ref="CS2:CS11" si="96">IFERROR(CR2/J2,0)</f>
        <v>2.7391304347826089</v>
      </c>
      <c r="CT2" s="79">
        <f t="shared" ref="CT2:CT11" si="97">IFERROR(CR2/CP2,0)</f>
        <v>0.53846153846153844</v>
      </c>
      <c r="CU2" s="83">
        <f t="shared" ref="CU2:CU11" si="98">(CP2+CK2)+FF2</f>
        <v>171</v>
      </c>
      <c r="CV2" s="83">
        <f t="shared" ref="CV2:CV11" si="99">IFERROR((CR2+CM2)+FG2,0)</f>
        <v>126</v>
      </c>
      <c r="CW2" s="84">
        <f t="shared" ref="CW2:CW11" si="100">IFERROR(CV2/CU2,0)</f>
        <v>0.73684210526315785</v>
      </c>
      <c r="CX2" s="364">
        <f t="shared" ref="CX2:CX11" si="101">FJ2</f>
        <v>17</v>
      </c>
      <c r="CY2" s="365">
        <f t="shared" ref="CY2:CY11" si="102">IFERROR(CX2/J2,0)</f>
        <v>6.6521739130434785</v>
      </c>
      <c r="CZ2" s="75">
        <f t="shared" ref="CZ2:CZ11" si="103">IFERROR(FH2+EY2+FW2,0)</f>
        <v>30</v>
      </c>
      <c r="DA2" s="76">
        <f t="shared" ref="DA2:DA11" si="104">IFERROR(CZ2/J2,0)</f>
        <v>11.739130434782609</v>
      </c>
      <c r="DB2" s="75">
        <f t="shared" ref="DB2:DB11" si="105">IFERROR(FK2+EY2+FH2,0)</f>
        <v>18</v>
      </c>
      <c r="DC2" s="76">
        <f t="shared" ref="DC2:DC11" si="106">IFERROR(DB2/J2,0)</f>
        <v>7.0434782608695654</v>
      </c>
      <c r="DD2" s="75">
        <f t="shared" ref="DD2:DD11" si="107">IFERROR(DE2*J2,0)</f>
        <v>0</v>
      </c>
      <c r="DE2" s="76">
        <f t="shared" ref="DE2:DE11" si="108">IFERROR(FY2,0)</f>
        <v>0</v>
      </c>
      <c r="DF2" s="75">
        <f t="shared" ref="DF2:DF11" si="109">IFERROR((FV2+FR2+GE2+FS2+FP2+FM2+FJ2+FK2+GJ2+FZ2+FF2),0)</f>
        <v>157</v>
      </c>
      <c r="DG2" s="76">
        <f t="shared" ref="DG2:DG11" si="110">IFERROR(DF2/J2,0)</f>
        <v>61.434782608695656</v>
      </c>
      <c r="DH2" s="75">
        <f t="shared" ref="DH2:DH11" si="111">IFERROR((((EV2*1.5)+(EW2*1.5)+FJ2+EY2+FH2+FL2)),0)</f>
        <v>36.5</v>
      </c>
      <c r="DI2" s="6">
        <f t="shared" ref="DI2:DI11" si="112">IFERROR(FL2+Z2+EY2+FH2+(FY2*J2)+(EV2*0.5)+(EW2*0.5),0)</f>
        <v>19.23</v>
      </c>
      <c r="DJ2" s="5">
        <f t="shared" ref="DJ2:DJ11" si="113">IFERROR(DI2/J2,0)</f>
        <v>7.5247826086956531</v>
      </c>
      <c r="DK2" s="6">
        <f t="shared" ref="DK2:DK11" si="114">FH2</f>
        <v>15</v>
      </c>
      <c r="DL2" s="5">
        <f t="shared" ref="DL2:DL11" si="115">IFERROR(DK2/J2,0)</f>
        <v>5.8695652173913047</v>
      </c>
      <c r="DM2" s="5">
        <f t="shared" ref="DM2:DM11" si="116">IFERROR(FH2/EW2,70)</f>
        <v>70</v>
      </c>
      <c r="DN2" s="21">
        <f t="shared" ref="DN2:DN11" si="117">IFERROR((EW2*1)/FH2,0)</f>
        <v>0</v>
      </c>
      <c r="DO2" s="5">
        <f t="shared" ref="DO2:DO11" si="118">(Z2-EW2)</f>
        <v>0.73</v>
      </c>
      <c r="DP2" s="5">
        <f t="shared" ref="DP2:DP11" si="119">IFERROR(Z2/FH2,0)</f>
        <v>4.8666666666666664E-2</v>
      </c>
      <c r="DQ2" s="219">
        <f t="shared" ref="DQ2:DQ11" si="120">IFERROR((FV2+FK2+FJ2+FH2),0)</f>
        <v>77</v>
      </c>
      <c r="DR2" s="220">
        <f t="shared" ref="DR2:DR11" si="121">IFERROR(DQ2/J2,0)</f>
        <v>30.130434782608699</v>
      </c>
      <c r="DS2" s="76">
        <f t="shared" ref="DS2:DS11" si="122">IFERROR(ES2/FH2,700)</f>
        <v>15.333333333333334</v>
      </c>
      <c r="DT2" s="76">
        <f t="shared" ref="DT2:DT11" si="123">IFERROR(ES2/(FL2+EY2+FH2),700)</f>
        <v>12.777777777777779</v>
      </c>
      <c r="DU2" s="76">
        <f t="shared" ref="DU2:DU11" si="124">IFERROR(FF2/J2,0)</f>
        <v>30.130434782608699</v>
      </c>
      <c r="DV2" s="76">
        <f t="shared" ref="DV2:DV11" si="125">IFERROR(FG2/J2,0)</f>
        <v>27.000000000000004</v>
      </c>
      <c r="DW2" s="92">
        <f t="shared" ref="DW2:DW11" si="126">IFERROR(FG2/FF2,0)</f>
        <v>0.89610389610389607</v>
      </c>
      <c r="DX2" s="185">
        <f t="shared" ref="DX2:DX11" si="127">IFERROR(VALUE(SUBSTITUTE(GL2, " km", "")),0)</f>
        <v>31.3</v>
      </c>
      <c r="DY2" s="204">
        <f t="shared" ref="DY2:DY11" si="128">IFERROR(DX2/J2,0)</f>
        <v>12.247826086956524</v>
      </c>
      <c r="DZ2" s="206">
        <f t="shared" ref="DZ2:DZ11" si="129">IFERROR((((DX2*1000)/(ES2*60))*3600)/1000,0)</f>
        <v>8.1652173913043473</v>
      </c>
      <c r="EA2" s="205">
        <f t="shared" ref="EA2:EA11" si="130">IFERROR((EB2*J2),0)</f>
        <v>28.111111111111107</v>
      </c>
      <c r="EB2" s="76">
        <f t="shared" ref="EB2:EB11" si="131">IFERROR(GI2,0)</f>
        <v>11</v>
      </c>
      <c r="EC2" s="56">
        <f t="shared" ref="EC2:EC11" si="132">(FV2-FW2)+(FM2-FN2)+(FK2-FL2)+(FF2-FG2)</f>
        <v>43</v>
      </c>
      <c r="ED2" s="57">
        <f t="shared" ref="ED2:ED11" si="133">IFERROR(EC2/J2,0)</f>
        <v>16.826086956521742</v>
      </c>
      <c r="EE2" s="76">
        <f t="shared" ref="EE2:EE11" si="134">FA2</f>
        <v>21.1</v>
      </c>
      <c r="EF2" s="57">
        <f t="shared" ref="EF2:EF11" si="135">EG2*J2</f>
        <v>17.888888888888886</v>
      </c>
      <c r="EG2" s="62">
        <f t="shared" ref="EG2:EG11" si="136">IFERROR(VALUE(SUBSTITUTE(GM2, ".", ",")),5)</f>
        <v>7</v>
      </c>
      <c r="EH2" s="296"/>
      <c r="EI2" s="292" t="s">
        <v>13</v>
      </c>
      <c r="EJ2" s="292" t="s">
        <v>796</v>
      </c>
      <c r="EK2" s="292" t="s">
        <v>839</v>
      </c>
      <c r="EL2" s="292">
        <v>24</v>
      </c>
      <c r="EM2" s="292" t="s">
        <v>801</v>
      </c>
      <c r="EN2" s="292" t="s">
        <v>561</v>
      </c>
      <c r="EO2" s="292" t="s">
        <v>601</v>
      </c>
      <c r="EP2" s="292" t="s">
        <v>840</v>
      </c>
      <c r="EQ2" s="292" t="s">
        <v>841</v>
      </c>
      <c r="ER2" s="293">
        <v>46721</v>
      </c>
      <c r="ES2" s="292">
        <v>230</v>
      </c>
      <c r="ET2" s="292">
        <v>3</v>
      </c>
      <c r="EU2" s="292">
        <v>1</v>
      </c>
      <c r="EV2" s="292">
        <v>1</v>
      </c>
      <c r="EW2" s="292">
        <v>0</v>
      </c>
      <c r="EX2" s="292">
        <v>2</v>
      </c>
      <c r="EY2" s="292">
        <v>2</v>
      </c>
      <c r="EZ2" s="292">
        <v>2.2999999999999998</v>
      </c>
      <c r="FA2" s="292">
        <v>21.1</v>
      </c>
      <c r="FB2" s="292" t="s">
        <v>842</v>
      </c>
      <c r="FC2" s="292" t="s">
        <v>793</v>
      </c>
      <c r="FD2" s="292">
        <v>2</v>
      </c>
      <c r="FE2" s="292">
        <v>4</v>
      </c>
      <c r="FF2" s="292">
        <v>77</v>
      </c>
      <c r="FG2" s="292">
        <v>69</v>
      </c>
      <c r="FH2" s="292">
        <v>15</v>
      </c>
      <c r="FI2" s="292">
        <v>10</v>
      </c>
      <c r="FJ2" s="292">
        <v>17</v>
      </c>
      <c r="FK2" s="292">
        <v>1</v>
      </c>
      <c r="FL2" s="292">
        <v>1</v>
      </c>
      <c r="FM2" s="292">
        <v>5</v>
      </c>
      <c r="FN2" s="292">
        <v>1</v>
      </c>
      <c r="FO2" s="292">
        <v>33</v>
      </c>
      <c r="FP2" s="292">
        <v>8</v>
      </c>
      <c r="FQ2" s="292">
        <v>3</v>
      </c>
      <c r="FR2" s="292">
        <v>3</v>
      </c>
      <c r="FS2" s="292">
        <v>2</v>
      </c>
      <c r="FT2" s="292">
        <v>37</v>
      </c>
      <c r="FU2" s="292">
        <v>12</v>
      </c>
      <c r="FV2" s="292">
        <v>44</v>
      </c>
      <c r="FW2" s="292">
        <v>13</v>
      </c>
      <c r="FX2" s="292">
        <v>0</v>
      </c>
      <c r="FY2" s="292">
        <v>0</v>
      </c>
      <c r="FZ2" s="292">
        <v>0</v>
      </c>
      <c r="GA2" s="292">
        <v>2</v>
      </c>
      <c r="GB2" s="292">
        <v>0</v>
      </c>
      <c r="GC2" s="292">
        <v>0</v>
      </c>
      <c r="GD2" s="292">
        <v>1</v>
      </c>
      <c r="GE2" s="292">
        <v>0</v>
      </c>
      <c r="GF2" s="292">
        <v>0</v>
      </c>
      <c r="GG2" s="292">
        <v>0</v>
      </c>
      <c r="GH2" s="292">
        <v>0</v>
      </c>
      <c r="GI2" s="292">
        <v>11</v>
      </c>
      <c r="GJ2" s="292">
        <v>0</v>
      </c>
      <c r="GK2" s="292">
        <v>0</v>
      </c>
      <c r="GL2" s="292" t="s">
        <v>843</v>
      </c>
      <c r="GM2" s="297">
        <v>7</v>
      </c>
    </row>
    <row r="3" spans="1:195" ht="24.95" customHeight="1" thickBot="1" x14ac:dyDescent="0.3">
      <c r="A3" s="29" t="str">
        <f t="shared" si="0"/>
        <v>2º</v>
      </c>
      <c r="B3" s="69" t="str">
        <f t="shared" si="1"/>
        <v>Diego Baiano</v>
      </c>
      <c r="C3" s="86" t="str">
        <f t="shared" si="2"/>
        <v>BRA</v>
      </c>
      <c r="D3" s="376" t="str">
        <f t="shared" si="3"/>
        <v>M/MO (C)</v>
      </c>
      <c r="E3" s="253" t="str">
        <f t="shared" si="4"/>
        <v>São José (SP)</v>
      </c>
      <c r="F3" s="36">
        <f t="shared" si="5"/>
        <v>22</v>
      </c>
      <c r="G3" s="370">
        <f t="shared" si="6"/>
        <v>46153</v>
      </c>
      <c r="H3" s="327" t="str">
        <f t="shared" si="7"/>
        <v>N/D</v>
      </c>
      <c r="I3" s="96">
        <f t="shared" si="8"/>
        <v>2.8022222222222224</v>
      </c>
      <c r="J3" s="194">
        <f t="shared" si="9"/>
        <v>2.4888888888888889</v>
      </c>
      <c r="K3" s="194">
        <f t="shared" si="10"/>
        <v>3</v>
      </c>
      <c r="L3" s="194">
        <f t="shared" si="11"/>
        <v>74.666666666666671</v>
      </c>
      <c r="M3" s="195">
        <f t="shared" si="12"/>
        <v>1</v>
      </c>
      <c r="N3" s="6">
        <f t="shared" si="13"/>
        <v>0</v>
      </c>
      <c r="O3" s="24">
        <f t="shared" si="14"/>
        <v>5400</v>
      </c>
      <c r="P3" s="21">
        <f t="shared" si="15"/>
        <v>0</v>
      </c>
      <c r="Q3" s="58">
        <f t="shared" si="16"/>
        <v>2</v>
      </c>
      <c r="R3" s="58">
        <f t="shared" si="17"/>
        <v>1</v>
      </c>
      <c r="S3" s="58">
        <f t="shared" si="18"/>
        <v>3</v>
      </c>
      <c r="T3" s="76">
        <f t="shared" si="19"/>
        <v>0.8035714285714286</v>
      </c>
      <c r="U3" s="76">
        <f t="shared" si="20"/>
        <v>0.4017857142857143</v>
      </c>
      <c r="V3" s="76">
        <f t="shared" si="21"/>
        <v>1.2053571428571428</v>
      </c>
      <c r="W3" s="76">
        <f t="shared" si="22"/>
        <v>0.62</v>
      </c>
      <c r="X3" s="76">
        <f t="shared" si="23"/>
        <v>0.62</v>
      </c>
      <c r="Y3" s="76">
        <f t="shared" si="24"/>
        <v>0.24910714285714286</v>
      </c>
      <c r="Z3" s="76">
        <f t="shared" si="25"/>
        <v>0.35</v>
      </c>
      <c r="AA3" s="76">
        <f t="shared" si="26"/>
        <v>0.140625</v>
      </c>
      <c r="AB3" s="76">
        <f t="shared" si="27"/>
        <v>0.97</v>
      </c>
      <c r="AC3" s="76">
        <f t="shared" si="28"/>
        <v>0.38973214285714286</v>
      </c>
      <c r="AD3" s="6">
        <f t="shared" si="29"/>
        <v>4</v>
      </c>
      <c r="AE3" s="5">
        <f t="shared" si="30"/>
        <v>1.6071428571428572</v>
      </c>
      <c r="AF3" s="6">
        <f t="shared" si="31"/>
        <v>1</v>
      </c>
      <c r="AG3" s="5">
        <f t="shared" si="32"/>
        <v>0.4017857142857143</v>
      </c>
      <c r="AH3" s="6">
        <f t="shared" si="33"/>
        <v>3</v>
      </c>
      <c r="AI3" s="5">
        <f t="shared" si="34"/>
        <v>1.2053571428571428</v>
      </c>
      <c r="AJ3" s="21">
        <f t="shared" si="35"/>
        <v>0.75</v>
      </c>
      <c r="AK3" s="76">
        <f t="shared" si="36"/>
        <v>2</v>
      </c>
      <c r="AL3" s="76">
        <f t="shared" si="37"/>
        <v>1.5</v>
      </c>
      <c r="AM3" s="20">
        <f t="shared" si="38"/>
        <v>0.5</v>
      </c>
      <c r="AN3" s="76">
        <f t="shared" si="39"/>
        <v>56</v>
      </c>
      <c r="AO3" s="76">
        <f t="shared" si="40"/>
        <v>74.666666666666671</v>
      </c>
      <c r="AP3" s="76">
        <f t="shared" si="41"/>
        <v>112</v>
      </c>
      <c r="AQ3" s="76">
        <f t="shared" si="42"/>
        <v>74.666666666666671</v>
      </c>
      <c r="AR3" s="5">
        <f t="shared" si="43"/>
        <v>1.38</v>
      </c>
      <c r="AS3" s="5">
        <f t="shared" si="44"/>
        <v>1.38</v>
      </c>
      <c r="AT3" s="75">
        <f t="shared" si="45"/>
        <v>0</v>
      </c>
      <c r="AU3" s="76">
        <f t="shared" si="46"/>
        <v>0</v>
      </c>
      <c r="AV3" s="75">
        <f t="shared" si="47"/>
        <v>10</v>
      </c>
      <c r="AW3" s="75">
        <f t="shared" si="48"/>
        <v>6</v>
      </c>
      <c r="AX3" s="75">
        <f t="shared" si="49"/>
        <v>4</v>
      </c>
      <c r="AY3" s="76">
        <f t="shared" si="50"/>
        <v>2.4107142857142856</v>
      </c>
      <c r="AZ3" s="79">
        <f t="shared" si="51"/>
        <v>0.6</v>
      </c>
      <c r="BA3" s="75">
        <f t="shared" si="52"/>
        <v>1</v>
      </c>
      <c r="BB3" s="75">
        <f t="shared" si="53"/>
        <v>1</v>
      </c>
      <c r="BC3" s="76">
        <f t="shared" si="54"/>
        <v>0.4017857142857143</v>
      </c>
      <c r="BD3" s="75">
        <f t="shared" si="55"/>
        <v>0</v>
      </c>
      <c r="BE3" s="76">
        <f t="shared" si="56"/>
        <v>0</v>
      </c>
      <c r="BF3" s="79">
        <f t="shared" si="57"/>
        <v>1</v>
      </c>
      <c r="BG3" s="270">
        <f t="shared" si="58"/>
        <v>0</v>
      </c>
      <c r="BH3" s="269">
        <f t="shared" si="59"/>
        <v>0</v>
      </c>
      <c r="BI3" s="270">
        <f t="shared" si="60"/>
        <v>0</v>
      </c>
      <c r="BJ3" s="269">
        <f t="shared" si="61"/>
        <v>0</v>
      </c>
      <c r="BK3" s="270">
        <f t="shared" si="62"/>
        <v>0</v>
      </c>
      <c r="BL3" s="269">
        <f t="shared" si="63"/>
        <v>0</v>
      </c>
      <c r="BM3" s="270">
        <f t="shared" si="64"/>
        <v>0</v>
      </c>
      <c r="BN3" s="79">
        <f t="shared" si="65"/>
        <v>0</v>
      </c>
      <c r="BO3" s="76">
        <f t="shared" si="66"/>
        <v>-3.5999999999999996</v>
      </c>
      <c r="BP3" s="75">
        <f t="shared" si="67"/>
        <v>10</v>
      </c>
      <c r="BQ3" s="75">
        <f t="shared" si="68"/>
        <v>2</v>
      </c>
      <c r="BR3" s="158">
        <f t="shared" si="69"/>
        <v>0.2</v>
      </c>
      <c r="BS3" s="75">
        <f t="shared" si="70"/>
        <v>21</v>
      </c>
      <c r="BT3" s="76">
        <f t="shared" si="71"/>
        <v>8.4375</v>
      </c>
      <c r="BU3" s="75">
        <f t="shared" si="72"/>
        <v>9</v>
      </c>
      <c r="BV3" s="76">
        <f t="shared" si="73"/>
        <v>3.6160714285714284</v>
      </c>
      <c r="BW3" s="158">
        <f t="shared" si="74"/>
        <v>0.42857142857142855</v>
      </c>
      <c r="BX3" s="75">
        <f t="shared" si="75"/>
        <v>5</v>
      </c>
      <c r="BY3" s="76">
        <f t="shared" si="76"/>
        <v>2.0089285714285712</v>
      </c>
      <c r="BZ3" s="75">
        <f t="shared" si="77"/>
        <v>3</v>
      </c>
      <c r="CA3" s="76">
        <f t="shared" si="78"/>
        <v>1.2053571428571428</v>
      </c>
      <c r="CB3" s="306">
        <f t="shared" si="79"/>
        <v>0</v>
      </c>
      <c r="CC3" s="307">
        <f t="shared" si="80"/>
        <v>0</v>
      </c>
      <c r="CD3" s="306">
        <f t="shared" si="81"/>
        <v>0</v>
      </c>
      <c r="CE3" s="307">
        <f t="shared" si="82"/>
        <v>0</v>
      </c>
      <c r="CF3" s="305">
        <f t="shared" si="83"/>
        <v>0</v>
      </c>
      <c r="CG3" s="306">
        <f t="shared" si="84"/>
        <v>0</v>
      </c>
      <c r="CH3" s="306">
        <f t="shared" si="85"/>
        <v>0</v>
      </c>
      <c r="CI3" s="347">
        <f t="shared" si="86"/>
        <v>0</v>
      </c>
      <c r="CJ3" s="346">
        <f t="shared" si="87"/>
        <v>1E-8</v>
      </c>
      <c r="CK3" s="75">
        <f t="shared" si="88"/>
        <v>13.995555555555555</v>
      </c>
      <c r="CL3" s="76">
        <f t="shared" si="89"/>
        <v>5.6232142857142851</v>
      </c>
      <c r="CM3" s="75">
        <f t="shared" si="90"/>
        <v>12</v>
      </c>
      <c r="CN3" s="76">
        <f t="shared" si="91"/>
        <v>4.8214285714285712</v>
      </c>
      <c r="CO3" s="79">
        <f t="shared" si="92"/>
        <v>0.85741505239758653</v>
      </c>
      <c r="CP3" s="75">
        <f t="shared" si="93"/>
        <v>16</v>
      </c>
      <c r="CQ3" s="76">
        <f t="shared" si="94"/>
        <v>6.4285714285714288</v>
      </c>
      <c r="CR3" s="75">
        <f t="shared" si="95"/>
        <v>12</v>
      </c>
      <c r="CS3" s="76">
        <f t="shared" si="96"/>
        <v>4.8214285714285712</v>
      </c>
      <c r="CT3" s="79">
        <f t="shared" si="97"/>
        <v>0.75</v>
      </c>
      <c r="CU3" s="83">
        <f t="shared" si="98"/>
        <v>160.99555555555554</v>
      </c>
      <c r="CV3" s="83">
        <f t="shared" si="99"/>
        <v>137</v>
      </c>
      <c r="CW3" s="84">
        <f t="shared" si="100"/>
        <v>0.85095516784452307</v>
      </c>
      <c r="CX3" s="364">
        <f t="shared" si="101"/>
        <v>3</v>
      </c>
      <c r="CY3" s="365">
        <f t="shared" si="102"/>
        <v>1.2053571428571428</v>
      </c>
      <c r="CZ3" s="75">
        <f t="shared" si="103"/>
        <v>6</v>
      </c>
      <c r="DA3" s="76">
        <f t="shared" si="104"/>
        <v>2.4107142857142856</v>
      </c>
      <c r="DB3" s="75">
        <f t="shared" si="105"/>
        <v>10</v>
      </c>
      <c r="DC3" s="76">
        <f t="shared" si="106"/>
        <v>4.0178571428571423</v>
      </c>
      <c r="DD3" s="75">
        <f t="shared" si="107"/>
        <v>0.99555555555555564</v>
      </c>
      <c r="DE3" s="76">
        <f t="shared" si="108"/>
        <v>0.4</v>
      </c>
      <c r="DF3" s="75">
        <f t="shared" si="109"/>
        <v>156</v>
      </c>
      <c r="DG3" s="76">
        <f t="shared" si="110"/>
        <v>62.678571428571431</v>
      </c>
      <c r="DH3" s="75">
        <f t="shared" si="111"/>
        <v>16.5</v>
      </c>
      <c r="DI3" s="6">
        <f t="shared" si="112"/>
        <v>11.845555555555555</v>
      </c>
      <c r="DJ3" s="5">
        <f t="shared" si="113"/>
        <v>4.7593749999999995</v>
      </c>
      <c r="DK3" s="6">
        <f t="shared" si="114"/>
        <v>5</v>
      </c>
      <c r="DL3" s="5">
        <f t="shared" si="115"/>
        <v>2.0089285714285712</v>
      </c>
      <c r="DM3" s="5">
        <f t="shared" si="116"/>
        <v>5</v>
      </c>
      <c r="DN3" s="21">
        <f t="shared" si="117"/>
        <v>0.2</v>
      </c>
      <c r="DO3" s="5">
        <f t="shared" si="118"/>
        <v>-0.65</v>
      </c>
      <c r="DP3" s="5">
        <f t="shared" si="119"/>
        <v>6.9999999999999993E-2</v>
      </c>
      <c r="DQ3" s="219">
        <f t="shared" si="120"/>
        <v>12</v>
      </c>
      <c r="DR3" s="220">
        <f t="shared" si="121"/>
        <v>4.8214285714285712</v>
      </c>
      <c r="DS3" s="76">
        <f t="shared" si="122"/>
        <v>44.8</v>
      </c>
      <c r="DT3" s="76">
        <f t="shared" si="123"/>
        <v>24.888888888888889</v>
      </c>
      <c r="DU3" s="76">
        <f t="shared" si="124"/>
        <v>52.633928571428569</v>
      </c>
      <c r="DV3" s="76">
        <f t="shared" si="125"/>
        <v>45.401785714285715</v>
      </c>
      <c r="DW3" s="92">
        <f t="shared" si="126"/>
        <v>0.86259541984732824</v>
      </c>
      <c r="DX3" s="185">
        <f t="shared" si="127"/>
        <v>29.3</v>
      </c>
      <c r="DY3" s="204">
        <f t="shared" si="128"/>
        <v>11.772321428571429</v>
      </c>
      <c r="DZ3" s="206">
        <f t="shared" si="129"/>
        <v>7.8482142857142856</v>
      </c>
      <c r="EA3" s="205">
        <f t="shared" si="130"/>
        <v>12.942222222222222</v>
      </c>
      <c r="EB3" s="76">
        <f t="shared" si="131"/>
        <v>5.2</v>
      </c>
      <c r="EC3" s="56">
        <f t="shared" si="132"/>
        <v>23</v>
      </c>
      <c r="ED3" s="57">
        <f t="shared" si="133"/>
        <v>9.2410714285714288</v>
      </c>
      <c r="EE3" s="76">
        <f t="shared" si="134"/>
        <v>10</v>
      </c>
      <c r="EF3" s="57">
        <f t="shared" si="135"/>
        <v>17.845333333333333</v>
      </c>
      <c r="EG3" s="62">
        <f t="shared" si="136"/>
        <v>7.17</v>
      </c>
      <c r="EH3" s="296" t="s">
        <v>847</v>
      </c>
      <c r="EI3" s="292" t="s">
        <v>13</v>
      </c>
      <c r="EJ3" s="292" t="s">
        <v>848</v>
      </c>
      <c r="EK3" s="292" t="s">
        <v>849</v>
      </c>
      <c r="EL3" s="292">
        <v>22</v>
      </c>
      <c r="EM3" s="292" t="s">
        <v>801</v>
      </c>
      <c r="EN3" s="292" t="s">
        <v>656</v>
      </c>
      <c r="EO3" s="292" t="s">
        <v>601</v>
      </c>
      <c r="EP3" s="393">
        <v>0</v>
      </c>
      <c r="EQ3" s="292" t="s">
        <v>824</v>
      </c>
      <c r="ER3" s="293">
        <v>46153</v>
      </c>
      <c r="ES3" s="292">
        <v>224</v>
      </c>
      <c r="ET3" s="292">
        <v>3</v>
      </c>
      <c r="EU3" s="292">
        <v>0</v>
      </c>
      <c r="EV3" s="292">
        <v>2</v>
      </c>
      <c r="EW3" s="292">
        <v>1</v>
      </c>
      <c r="EX3" s="292">
        <v>2</v>
      </c>
      <c r="EY3" s="292">
        <v>1</v>
      </c>
      <c r="EZ3" s="292">
        <v>6.4</v>
      </c>
      <c r="FA3" s="292">
        <v>10</v>
      </c>
      <c r="FB3" s="292" t="s">
        <v>850</v>
      </c>
      <c r="FC3" s="292" t="s">
        <v>851</v>
      </c>
      <c r="FD3" s="292">
        <v>0</v>
      </c>
      <c r="FE3" s="292">
        <v>0</v>
      </c>
      <c r="FF3" s="292">
        <v>131</v>
      </c>
      <c r="FG3" s="292">
        <v>113</v>
      </c>
      <c r="FH3" s="292">
        <v>5</v>
      </c>
      <c r="FI3" s="292">
        <v>11</v>
      </c>
      <c r="FJ3" s="292">
        <v>3</v>
      </c>
      <c r="FK3" s="292">
        <v>4</v>
      </c>
      <c r="FL3" s="292">
        <v>3</v>
      </c>
      <c r="FM3" s="292">
        <v>10</v>
      </c>
      <c r="FN3" s="292">
        <v>6</v>
      </c>
      <c r="FO3" s="292">
        <v>10</v>
      </c>
      <c r="FP3" s="292">
        <v>2</v>
      </c>
      <c r="FQ3" s="292">
        <v>1</v>
      </c>
      <c r="FR3" s="292">
        <v>1</v>
      </c>
      <c r="FS3" s="292">
        <v>5</v>
      </c>
      <c r="FT3" s="292">
        <v>0</v>
      </c>
      <c r="FU3" s="292">
        <v>0</v>
      </c>
      <c r="FV3" s="292">
        <v>0</v>
      </c>
      <c r="FW3" s="292">
        <v>0</v>
      </c>
      <c r="FX3" s="292">
        <v>0</v>
      </c>
      <c r="FY3" s="292">
        <v>0.4</v>
      </c>
      <c r="FZ3" s="292">
        <v>0</v>
      </c>
      <c r="GA3" s="292">
        <v>0</v>
      </c>
      <c r="GB3" s="292">
        <v>0</v>
      </c>
      <c r="GC3" s="292">
        <v>0</v>
      </c>
      <c r="GD3" s="292">
        <v>0</v>
      </c>
      <c r="GE3" s="292">
        <v>0</v>
      </c>
      <c r="GF3" s="292">
        <v>0</v>
      </c>
      <c r="GG3" s="292">
        <v>0</v>
      </c>
      <c r="GH3" s="292">
        <v>0</v>
      </c>
      <c r="GI3" s="292">
        <v>5.2</v>
      </c>
      <c r="GJ3" s="292">
        <v>0</v>
      </c>
      <c r="GK3" s="292">
        <v>0</v>
      </c>
      <c r="GL3" s="292" t="s">
        <v>821</v>
      </c>
      <c r="GM3" s="297">
        <v>7.17</v>
      </c>
    </row>
    <row r="4" spans="1:195" ht="24.95" customHeight="1" thickBot="1" x14ac:dyDescent="0.3">
      <c r="A4" s="29" t="str">
        <f t="shared" si="0"/>
        <v>3º</v>
      </c>
      <c r="B4" s="69" t="str">
        <f t="shared" si="1"/>
        <v>Euller</v>
      </c>
      <c r="C4" s="86" t="str">
        <f t="shared" si="2"/>
        <v>BRA</v>
      </c>
      <c r="D4" s="376" t="str">
        <f t="shared" si="3"/>
        <v>D (C)</v>
      </c>
      <c r="E4" s="253" t="str">
        <f t="shared" si="4"/>
        <v>São José (SP)</v>
      </c>
      <c r="F4" s="36">
        <f t="shared" si="5"/>
        <v>23</v>
      </c>
      <c r="G4" s="370">
        <f t="shared" si="6"/>
        <v>46387</v>
      </c>
      <c r="H4" s="327" t="str">
        <f t="shared" si="7"/>
        <v>€2,3m p/m</v>
      </c>
      <c r="I4" s="96">
        <f t="shared" si="8"/>
        <v>2.8022222222222224</v>
      </c>
      <c r="J4" s="194">
        <f t="shared" si="9"/>
        <v>3</v>
      </c>
      <c r="K4" s="194">
        <f t="shared" si="10"/>
        <v>3</v>
      </c>
      <c r="L4" s="194">
        <f t="shared" si="11"/>
        <v>90</v>
      </c>
      <c r="M4" s="195">
        <f t="shared" si="12"/>
        <v>1</v>
      </c>
      <c r="N4" s="6">
        <f t="shared" si="13"/>
        <v>0</v>
      </c>
      <c r="O4" s="24">
        <f t="shared" si="14"/>
        <v>5400</v>
      </c>
      <c r="P4" s="21">
        <f t="shared" si="15"/>
        <v>0</v>
      </c>
      <c r="Q4" s="58">
        <f t="shared" si="16"/>
        <v>0</v>
      </c>
      <c r="R4" s="58">
        <f t="shared" si="17"/>
        <v>0</v>
      </c>
      <c r="S4" s="58">
        <f t="shared" si="18"/>
        <v>0</v>
      </c>
      <c r="T4" s="76">
        <f t="shared" si="19"/>
        <v>0</v>
      </c>
      <c r="U4" s="76">
        <f t="shared" si="20"/>
        <v>0</v>
      </c>
      <c r="V4" s="76">
        <f t="shared" si="21"/>
        <v>0</v>
      </c>
      <c r="W4" s="76">
        <f t="shared" si="22"/>
        <v>0.06</v>
      </c>
      <c r="X4" s="76">
        <f t="shared" si="23"/>
        <v>0.06</v>
      </c>
      <c r="Y4" s="76">
        <f t="shared" si="24"/>
        <v>0.02</v>
      </c>
      <c r="Z4" s="76">
        <f t="shared" si="25"/>
        <v>0</v>
      </c>
      <c r="AA4" s="76">
        <f t="shared" si="26"/>
        <v>0</v>
      </c>
      <c r="AB4" s="76">
        <f t="shared" si="27"/>
        <v>0.06</v>
      </c>
      <c r="AC4" s="76">
        <f t="shared" si="28"/>
        <v>0.02</v>
      </c>
      <c r="AD4" s="6">
        <f t="shared" si="29"/>
        <v>1</v>
      </c>
      <c r="AE4" s="5">
        <f t="shared" si="30"/>
        <v>0.33333333333333331</v>
      </c>
      <c r="AF4" s="6">
        <f t="shared" si="31"/>
        <v>1</v>
      </c>
      <c r="AG4" s="5">
        <f t="shared" si="32"/>
        <v>0.33333333333333331</v>
      </c>
      <c r="AH4" s="6">
        <f t="shared" si="33"/>
        <v>0</v>
      </c>
      <c r="AI4" s="5">
        <f t="shared" si="34"/>
        <v>0</v>
      </c>
      <c r="AJ4" s="21">
        <f t="shared" si="35"/>
        <v>0</v>
      </c>
      <c r="AK4" s="76">
        <f t="shared" si="36"/>
        <v>50</v>
      </c>
      <c r="AL4" s="76">
        <f t="shared" si="37"/>
        <v>50</v>
      </c>
      <c r="AM4" s="20">
        <f t="shared" si="38"/>
        <v>0</v>
      </c>
      <c r="AN4" s="76">
        <f t="shared" si="39"/>
        <v>270</v>
      </c>
      <c r="AO4" s="76">
        <f t="shared" si="40"/>
        <v>700</v>
      </c>
      <c r="AP4" s="76">
        <f t="shared" si="41"/>
        <v>270</v>
      </c>
      <c r="AQ4" s="76">
        <f t="shared" si="42"/>
        <v>270</v>
      </c>
      <c r="AR4" s="5">
        <f t="shared" si="43"/>
        <v>-0.06</v>
      </c>
      <c r="AS4" s="5">
        <f t="shared" si="44"/>
        <v>-0.06</v>
      </c>
      <c r="AT4" s="75">
        <f t="shared" si="45"/>
        <v>0</v>
      </c>
      <c r="AU4" s="76">
        <f t="shared" si="46"/>
        <v>0</v>
      </c>
      <c r="AV4" s="75">
        <f t="shared" si="47"/>
        <v>18</v>
      </c>
      <c r="AW4" s="75">
        <f t="shared" si="48"/>
        <v>12</v>
      </c>
      <c r="AX4" s="75">
        <f t="shared" si="49"/>
        <v>6</v>
      </c>
      <c r="AY4" s="76">
        <f t="shared" si="50"/>
        <v>4</v>
      </c>
      <c r="AZ4" s="79">
        <f t="shared" si="51"/>
        <v>0.66666666666666663</v>
      </c>
      <c r="BA4" s="75">
        <f t="shared" si="52"/>
        <v>6</v>
      </c>
      <c r="BB4" s="75">
        <f t="shared" si="53"/>
        <v>5</v>
      </c>
      <c r="BC4" s="76">
        <f t="shared" si="54"/>
        <v>1.6666666666666667</v>
      </c>
      <c r="BD4" s="75">
        <f t="shared" si="55"/>
        <v>0</v>
      </c>
      <c r="BE4" s="76">
        <f t="shared" si="56"/>
        <v>0</v>
      </c>
      <c r="BF4" s="79">
        <f t="shared" si="57"/>
        <v>0.83333333333333337</v>
      </c>
      <c r="BG4" s="270">
        <f t="shared" si="58"/>
        <v>1</v>
      </c>
      <c r="BH4" s="269">
        <f t="shared" si="59"/>
        <v>0.33333333333333331</v>
      </c>
      <c r="BI4" s="270">
        <f t="shared" si="60"/>
        <v>1</v>
      </c>
      <c r="BJ4" s="269">
        <f t="shared" si="61"/>
        <v>0.33333333333333331</v>
      </c>
      <c r="BK4" s="270">
        <f t="shared" si="62"/>
        <v>0</v>
      </c>
      <c r="BL4" s="269">
        <f t="shared" si="63"/>
        <v>0</v>
      </c>
      <c r="BM4" s="270">
        <f t="shared" si="64"/>
        <v>1</v>
      </c>
      <c r="BN4" s="79">
        <f t="shared" si="65"/>
        <v>1</v>
      </c>
      <c r="BO4" s="76">
        <f t="shared" si="66"/>
        <v>3.6000000000000014</v>
      </c>
      <c r="BP4" s="75">
        <f t="shared" si="67"/>
        <v>11</v>
      </c>
      <c r="BQ4" s="75">
        <f t="shared" si="68"/>
        <v>2</v>
      </c>
      <c r="BR4" s="158">
        <f t="shared" si="69"/>
        <v>0.18181818181818182</v>
      </c>
      <c r="BS4" s="75">
        <f t="shared" si="70"/>
        <v>35</v>
      </c>
      <c r="BT4" s="76">
        <f t="shared" si="71"/>
        <v>11.666666666666666</v>
      </c>
      <c r="BU4" s="75">
        <f t="shared" si="72"/>
        <v>19</v>
      </c>
      <c r="BV4" s="76">
        <f t="shared" si="73"/>
        <v>6.333333333333333</v>
      </c>
      <c r="BW4" s="158">
        <f t="shared" si="74"/>
        <v>0.54285714285714282</v>
      </c>
      <c r="BX4" s="75">
        <f t="shared" si="75"/>
        <v>16</v>
      </c>
      <c r="BY4" s="76">
        <f t="shared" si="76"/>
        <v>5.333333333333333</v>
      </c>
      <c r="BZ4" s="75">
        <f t="shared" si="77"/>
        <v>7</v>
      </c>
      <c r="CA4" s="76">
        <f t="shared" si="78"/>
        <v>2.3333333333333335</v>
      </c>
      <c r="CB4" s="306">
        <f t="shared" si="79"/>
        <v>0</v>
      </c>
      <c r="CC4" s="307">
        <f t="shared" si="80"/>
        <v>0</v>
      </c>
      <c r="CD4" s="306">
        <f t="shared" si="81"/>
        <v>0</v>
      </c>
      <c r="CE4" s="307">
        <f t="shared" si="82"/>
        <v>0</v>
      </c>
      <c r="CF4" s="305">
        <f t="shared" si="83"/>
        <v>0</v>
      </c>
      <c r="CG4" s="306">
        <f t="shared" si="84"/>
        <v>0</v>
      </c>
      <c r="CH4" s="306">
        <f t="shared" si="85"/>
        <v>0</v>
      </c>
      <c r="CI4" s="347">
        <f t="shared" si="86"/>
        <v>0</v>
      </c>
      <c r="CJ4" s="346">
        <f t="shared" si="87"/>
        <v>1E-8</v>
      </c>
      <c r="CK4" s="75">
        <f t="shared" si="88"/>
        <v>1</v>
      </c>
      <c r="CL4" s="76">
        <f t="shared" si="89"/>
        <v>0.33333333333333331</v>
      </c>
      <c r="CM4" s="75">
        <f t="shared" si="90"/>
        <v>0</v>
      </c>
      <c r="CN4" s="76">
        <f t="shared" si="91"/>
        <v>0</v>
      </c>
      <c r="CO4" s="79">
        <f t="shared" si="92"/>
        <v>0</v>
      </c>
      <c r="CP4" s="75">
        <f t="shared" si="93"/>
        <v>40</v>
      </c>
      <c r="CQ4" s="76">
        <f t="shared" si="94"/>
        <v>13.333333333333334</v>
      </c>
      <c r="CR4" s="75">
        <f t="shared" si="95"/>
        <v>33</v>
      </c>
      <c r="CS4" s="76">
        <f t="shared" si="96"/>
        <v>11</v>
      </c>
      <c r="CT4" s="79">
        <f t="shared" si="97"/>
        <v>0.82499999999999996</v>
      </c>
      <c r="CU4" s="83">
        <f t="shared" si="98"/>
        <v>190</v>
      </c>
      <c r="CV4" s="83">
        <f t="shared" si="99"/>
        <v>158</v>
      </c>
      <c r="CW4" s="84">
        <f t="shared" si="100"/>
        <v>0.83157894736842108</v>
      </c>
      <c r="CX4" s="364">
        <f t="shared" si="101"/>
        <v>0</v>
      </c>
      <c r="CY4" s="365">
        <f t="shared" si="102"/>
        <v>0</v>
      </c>
      <c r="CZ4" s="75">
        <f t="shared" si="103"/>
        <v>0</v>
      </c>
      <c r="DA4" s="76">
        <f t="shared" si="104"/>
        <v>0</v>
      </c>
      <c r="DB4" s="75">
        <f t="shared" si="105"/>
        <v>1</v>
      </c>
      <c r="DC4" s="76">
        <f t="shared" si="106"/>
        <v>0.33333333333333331</v>
      </c>
      <c r="DD4" s="75">
        <f t="shared" si="107"/>
        <v>0</v>
      </c>
      <c r="DE4" s="76">
        <f t="shared" si="108"/>
        <v>0</v>
      </c>
      <c r="DF4" s="75">
        <f t="shared" si="109"/>
        <v>184</v>
      </c>
      <c r="DG4" s="76">
        <f t="shared" si="110"/>
        <v>61.333333333333336</v>
      </c>
      <c r="DH4" s="75">
        <f t="shared" si="111"/>
        <v>0</v>
      </c>
      <c r="DI4" s="6">
        <f t="shared" si="112"/>
        <v>0</v>
      </c>
      <c r="DJ4" s="5">
        <f t="shared" si="113"/>
        <v>0</v>
      </c>
      <c r="DK4" s="6">
        <f t="shared" si="114"/>
        <v>0</v>
      </c>
      <c r="DL4" s="5">
        <f t="shared" si="115"/>
        <v>0</v>
      </c>
      <c r="DM4" s="5">
        <f t="shared" si="116"/>
        <v>70</v>
      </c>
      <c r="DN4" s="21">
        <f t="shared" si="117"/>
        <v>0</v>
      </c>
      <c r="DO4" s="5">
        <f t="shared" si="118"/>
        <v>0</v>
      </c>
      <c r="DP4" s="5">
        <f t="shared" si="119"/>
        <v>0</v>
      </c>
      <c r="DQ4" s="219">
        <f t="shared" si="120"/>
        <v>1</v>
      </c>
      <c r="DR4" s="220">
        <f t="shared" si="121"/>
        <v>0.33333333333333331</v>
      </c>
      <c r="DS4" s="76">
        <f t="shared" si="122"/>
        <v>700</v>
      </c>
      <c r="DT4" s="76">
        <f t="shared" si="123"/>
        <v>700</v>
      </c>
      <c r="DU4" s="76">
        <f t="shared" si="124"/>
        <v>49.666666666666664</v>
      </c>
      <c r="DV4" s="76">
        <f t="shared" si="125"/>
        <v>41.666666666666664</v>
      </c>
      <c r="DW4" s="92">
        <f t="shared" si="126"/>
        <v>0.83892617449664431</v>
      </c>
      <c r="DX4" s="185">
        <f t="shared" si="127"/>
        <v>29.2</v>
      </c>
      <c r="DY4" s="204">
        <f t="shared" si="128"/>
        <v>9.7333333333333325</v>
      </c>
      <c r="DZ4" s="206">
        <f t="shared" si="129"/>
        <v>6.4888888888888889</v>
      </c>
      <c r="EA4" s="205">
        <f t="shared" si="130"/>
        <v>5.0999999999999996</v>
      </c>
      <c r="EB4" s="76">
        <f t="shared" si="131"/>
        <v>1.7</v>
      </c>
      <c r="EC4" s="56">
        <f t="shared" si="132"/>
        <v>31</v>
      </c>
      <c r="ED4" s="57">
        <f t="shared" si="133"/>
        <v>10.333333333333334</v>
      </c>
      <c r="EE4" s="76">
        <f t="shared" si="134"/>
        <v>8.6999999999999993</v>
      </c>
      <c r="EF4" s="57">
        <f t="shared" si="135"/>
        <v>20.399999999999999</v>
      </c>
      <c r="EG4" s="62">
        <f t="shared" si="136"/>
        <v>6.8</v>
      </c>
      <c r="EH4" s="296"/>
      <c r="EI4" s="292" t="s">
        <v>13</v>
      </c>
      <c r="EJ4" s="292" t="s">
        <v>785</v>
      </c>
      <c r="EK4" s="292" t="s">
        <v>813</v>
      </c>
      <c r="EL4" s="292">
        <v>23</v>
      </c>
      <c r="EM4" s="292" t="s">
        <v>801</v>
      </c>
      <c r="EN4" s="292" t="s">
        <v>639</v>
      </c>
      <c r="EO4" s="292" t="s">
        <v>790</v>
      </c>
      <c r="EP4" s="292" t="s">
        <v>814</v>
      </c>
      <c r="EQ4" s="292" t="s">
        <v>810</v>
      </c>
      <c r="ER4" s="293">
        <v>46387</v>
      </c>
      <c r="ES4" s="292">
        <v>270</v>
      </c>
      <c r="ET4" s="292">
        <v>3</v>
      </c>
      <c r="EU4" s="292">
        <v>0</v>
      </c>
      <c r="EV4" s="292">
        <v>0</v>
      </c>
      <c r="EW4" s="292">
        <v>0</v>
      </c>
      <c r="EX4" s="292">
        <v>0</v>
      </c>
      <c r="EY4" s="292">
        <v>0</v>
      </c>
      <c r="EZ4" s="292">
        <v>12.3</v>
      </c>
      <c r="FA4" s="292">
        <v>8.6999999999999993</v>
      </c>
      <c r="FB4" s="292" t="s">
        <v>815</v>
      </c>
      <c r="FC4" s="292">
        <v>0</v>
      </c>
      <c r="FD4" s="292">
        <v>1</v>
      </c>
      <c r="FE4" s="292">
        <v>0</v>
      </c>
      <c r="FF4" s="292">
        <v>149</v>
      </c>
      <c r="FG4" s="292">
        <v>125</v>
      </c>
      <c r="FH4" s="292">
        <v>0</v>
      </c>
      <c r="FI4" s="292">
        <v>10</v>
      </c>
      <c r="FJ4" s="292">
        <v>0</v>
      </c>
      <c r="FK4" s="292">
        <v>1</v>
      </c>
      <c r="FL4" s="292">
        <v>0</v>
      </c>
      <c r="FM4" s="292">
        <v>18</v>
      </c>
      <c r="FN4" s="292">
        <v>12</v>
      </c>
      <c r="FO4" s="292">
        <v>11</v>
      </c>
      <c r="FP4" s="292">
        <v>2</v>
      </c>
      <c r="FQ4" s="292">
        <v>5</v>
      </c>
      <c r="FR4" s="292">
        <v>5</v>
      </c>
      <c r="FS4" s="292">
        <v>9</v>
      </c>
      <c r="FT4" s="292">
        <v>0</v>
      </c>
      <c r="FU4" s="292">
        <v>0</v>
      </c>
      <c r="FV4" s="292">
        <v>0</v>
      </c>
      <c r="FW4" s="292">
        <v>0</v>
      </c>
      <c r="FX4" s="292">
        <v>0</v>
      </c>
      <c r="FY4" s="292">
        <v>0</v>
      </c>
      <c r="FZ4" s="292">
        <v>0</v>
      </c>
      <c r="GA4" s="292">
        <v>0</v>
      </c>
      <c r="GB4" s="292">
        <v>2</v>
      </c>
      <c r="GC4" s="292">
        <v>2</v>
      </c>
      <c r="GD4" s="292">
        <v>3</v>
      </c>
      <c r="GE4" s="292">
        <v>0</v>
      </c>
      <c r="GF4" s="292">
        <v>1</v>
      </c>
      <c r="GG4" s="292">
        <v>0</v>
      </c>
      <c r="GH4" s="292">
        <v>0</v>
      </c>
      <c r="GI4" s="292">
        <v>1.7</v>
      </c>
      <c r="GJ4" s="292">
        <v>0</v>
      </c>
      <c r="GK4" s="292">
        <v>0</v>
      </c>
      <c r="GL4" s="292" t="s">
        <v>816</v>
      </c>
      <c r="GM4" s="297">
        <v>6.8</v>
      </c>
    </row>
    <row r="5" spans="1:195" ht="24.95" customHeight="1" thickBot="1" x14ac:dyDescent="0.3">
      <c r="A5" s="29" t="str">
        <f t="shared" si="0"/>
        <v>4º</v>
      </c>
      <c r="B5" s="69" t="str">
        <f t="shared" si="1"/>
        <v>Felippe Borges</v>
      </c>
      <c r="C5" s="86" t="str">
        <f t="shared" si="2"/>
        <v>BRA</v>
      </c>
      <c r="D5" s="376" t="str">
        <f t="shared" si="3"/>
        <v>D/DA (E)</v>
      </c>
      <c r="E5" s="253" t="str">
        <f t="shared" si="4"/>
        <v>São José (SP)</v>
      </c>
      <c r="F5" s="36">
        <f t="shared" si="5"/>
        <v>26</v>
      </c>
      <c r="G5" s="370">
        <f t="shared" si="6"/>
        <v>46356</v>
      </c>
      <c r="H5" s="327" t="str">
        <f t="shared" si="7"/>
        <v>€2,3m p/m</v>
      </c>
      <c r="I5" s="96">
        <f t="shared" si="8"/>
        <v>2.8022222222222224</v>
      </c>
      <c r="J5" s="194">
        <f t="shared" si="9"/>
        <v>3</v>
      </c>
      <c r="K5" s="194">
        <f t="shared" si="10"/>
        <v>3</v>
      </c>
      <c r="L5" s="194">
        <f t="shared" si="11"/>
        <v>90</v>
      </c>
      <c r="M5" s="195">
        <f t="shared" si="12"/>
        <v>1</v>
      </c>
      <c r="N5" s="6">
        <f t="shared" si="13"/>
        <v>0</v>
      </c>
      <c r="O5" s="24">
        <f t="shared" si="14"/>
        <v>5400</v>
      </c>
      <c r="P5" s="21">
        <f t="shared" si="15"/>
        <v>0</v>
      </c>
      <c r="Q5" s="58">
        <f t="shared" si="16"/>
        <v>0</v>
      </c>
      <c r="R5" s="58">
        <f t="shared" si="17"/>
        <v>0</v>
      </c>
      <c r="S5" s="58">
        <f t="shared" si="18"/>
        <v>0</v>
      </c>
      <c r="T5" s="76">
        <f t="shared" si="19"/>
        <v>0</v>
      </c>
      <c r="U5" s="76">
        <f t="shared" si="20"/>
        <v>0</v>
      </c>
      <c r="V5" s="76">
        <f t="shared" si="21"/>
        <v>0</v>
      </c>
      <c r="W5" s="76">
        <f t="shared" si="22"/>
        <v>0.01</v>
      </c>
      <c r="X5" s="76">
        <f t="shared" si="23"/>
        <v>0.01</v>
      </c>
      <c r="Y5" s="76">
        <f t="shared" si="24"/>
        <v>3.3333333333333335E-3</v>
      </c>
      <c r="Z5" s="76">
        <f t="shared" si="25"/>
        <v>0.03</v>
      </c>
      <c r="AA5" s="76">
        <f t="shared" si="26"/>
        <v>0.01</v>
      </c>
      <c r="AB5" s="76">
        <f t="shared" si="27"/>
        <v>0.04</v>
      </c>
      <c r="AC5" s="76">
        <f t="shared" si="28"/>
        <v>1.3333333333333334E-2</v>
      </c>
      <c r="AD5" s="6">
        <f t="shared" si="29"/>
        <v>1</v>
      </c>
      <c r="AE5" s="5">
        <f t="shared" si="30"/>
        <v>0.33333333333333331</v>
      </c>
      <c r="AF5" s="6">
        <f t="shared" si="31"/>
        <v>0</v>
      </c>
      <c r="AG5" s="5">
        <f t="shared" si="32"/>
        <v>0</v>
      </c>
      <c r="AH5" s="6">
        <f t="shared" si="33"/>
        <v>1</v>
      </c>
      <c r="AI5" s="5">
        <f t="shared" si="34"/>
        <v>0.33333333333333331</v>
      </c>
      <c r="AJ5" s="21">
        <f t="shared" si="35"/>
        <v>1</v>
      </c>
      <c r="AK5" s="76">
        <f t="shared" si="36"/>
        <v>50</v>
      </c>
      <c r="AL5" s="76">
        <f t="shared" si="37"/>
        <v>50</v>
      </c>
      <c r="AM5" s="20">
        <f t="shared" si="38"/>
        <v>0</v>
      </c>
      <c r="AN5" s="76">
        <f t="shared" si="39"/>
        <v>270</v>
      </c>
      <c r="AO5" s="76">
        <f t="shared" si="40"/>
        <v>270</v>
      </c>
      <c r="AP5" s="76">
        <f t="shared" si="41"/>
        <v>270</v>
      </c>
      <c r="AQ5" s="76">
        <f t="shared" si="42"/>
        <v>270</v>
      </c>
      <c r="AR5" s="5">
        <f t="shared" si="43"/>
        <v>-0.01</v>
      </c>
      <c r="AS5" s="5">
        <f t="shared" si="44"/>
        <v>-0.01</v>
      </c>
      <c r="AT5" s="75">
        <f t="shared" si="45"/>
        <v>0</v>
      </c>
      <c r="AU5" s="76">
        <f t="shared" si="46"/>
        <v>0</v>
      </c>
      <c r="AV5" s="75">
        <f t="shared" si="47"/>
        <v>15</v>
      </c>
      <c r="AW5" s="75">
        <f t="shared" si="48"/>
        <v>11</v>
      </c>
      <c r="AX5" s="75">
        <f t="shared" si="49"/>
        <v>4</v>
      </c>
      <c r="AY5" s="76">
        <f t="shared" si="50"/>
        <v>3.6666666666666665</v>
      </c>
      <c r="AZ5" s="79">
        <f t="shared" si="51"/>
        <v>0.73333333333333328</v>
      </c>
      <c r="BA5" s="75">
        <f t="shared" si="52"/>
        <v>5</v>
      </c>
      <c r="BB5" s="75">
        <f t="shared" si="53"/>
        <v>2</v>
      </c>
      <c r="BC5" s="76">
        <f t="shared" si="54"/>
        <v>0.66666666666666663</v>
      </c>
      <c r="BD5" s="75">
        <f t="shared" si="55"/>
        <v>2</v>
      </c>
      <c r="BE5" s="76">
        <f t="shared" si="56"/>
        <v>0.66666666666666663</v>
      </c>
      <c r="BF5" s="79">
        <f t="shared" si="57"/>
        <v>0.4</v>
      </c>
      <c r="BG5" s="270">
        <f t="shared" si="58"/>
        <v>1</v>
      </c>
      <c r="BH5" s="269">
        <f t="shared" si="59"/>
        <v>0.33333333333333331</v>
      </c>
      <c r="BI5" s="270">
        <f t="shared" si="60"/>
        <v>1</v>
      </c>
      <c r="BJ5" s="269">
        <f t="shared" si="61"/>
        <v>0.33333333333333331</v>
      </c>
      <c r="BK5" s="270">
        <f t="shared" si="62"/>
        <v>0</v>
      </c>
      <c r="BL5" s="269">
        <f t="shared" si="63"/>
        <v>0</v>
      </c>
      <c r="BM5" s="270">
        <f t="shared" si="64"/>
        <v>1</v>
      </c>
      <c r="BN5" s="79">
        <f t="shared" si="65"/>
        <v>1</v>
      </c>
      <c r="BO5" s="76">
        <f t="shared" si="66"/>
        <v>1.3000000000000007</v>
      </c>
      <c r="BP5" s="75">
        <f t="shared" si="67"/>
        <v>37</v>
      </c>
      <c r="BQ5" s="75">
        <f t="shared" si="68"/>
        <v>7</v>
      </c>
      <c r="BR5" s="158">
        <f t="shared" si="69"/>
        <v>0.1891891891891892</v>
      </c>
      <c r="BS5" s="75">
        <f t="shared" si="70"/>
        <v>57</v>
      </c>
      <c r="BT5" s="76">
        <f t="shared" si="71"/>
        <v>19</v>
      </c>
      <c r="BU5" s="75">
        <f t="shared" si="72"/>
        <v>20</v>
      </c>
      <c r="BV5" s="76">
        <f t="shared" si="73"/>
        <v>6.666666666666667</v>
      </c>
      <c r="BW5" s="158">
        <f t="shared" si="74"/>
        <v>0.35087719298245612</v>
      </c>
      <c r="BX5" s="75">
        <f t="shared" si="75"/>
        <v>20</v>
      </c>
      <c r="BY5" s="76">
        <f t="shared" si="76"/>
        <v>6.666666666666667</v>
      </c>
      <c r="BZ5" s="75">
        <f t="shared" si="77"/>
        <v>9</v>
      </c>
      <c r="CA5" s="76">
        <f t="shared" si="78"/>
        <v>3</v>
      </c>
      <c r="CB5" s="306">
        <f t="shared" si="79"/>
        <v>4</v>
      </c>
      <c r="CC5" s="307">
        <f t="shared" si="80"/>
        <v>1.3333333333333333</v>
      </c>
      <c r="CD5" s="306">
        <f t="shared" si="81"/>
        <v>0</v>
      </c>
      <c r="CE5" s="307">
        <f t="shared" si="82"/>
        <v>0</v>
      </c>
      <c r="CF5" s="305">
        <f t="shared" si="83"/>
        <v>0</v>
      </c>
      <c r="CG5" s="306">
        <f t="shared" si="84"/>
        <v>0</v>
      </c>
      <c r="CH5" s="306">
        <f t="shared" si="85"/>
        <v>0</v>
      </c>
      <c r="CI5" s="347">
        <f t="shared" si="86"/>
        <v>0</v>
      </c>
      <c r="CJ5" s="346">
        <f t="shared" si="87"/>
        <v>1E-8</v>
      </c>
      <c r="CK5" s="75">
        <f t="shared" si="88"/>
        <v>19.899999999999999</v>
      </c>
      <c r="CL5" s="76">
        <f t="shared" si="89"/>
        <v>6.6333333333333329</v>
      </c>
      <c r="CM5" s="75">
        <f t="shared" si="90"/>
        <v>7</v>
      </c>
      <c r="CN5" s="76">
        <f t="shared" si="91"/>
        <v>2.3333333333333335</v>
      </c>
      <c r="CO5" s="79">
        <f t="shared" si="92"/>
        <v>0.35175879396984927</v>
      </c>
      <c r="CP5" s="75">
        <f t="shared" si="93"/>
        <v>40</v>
      </c>
      <c r="CQ5" s="76">
        <f t="shared" si="94"/>
        <v>13.333333333333334</v>
      </c>
      <c r="CR5" s="75">
        <f t="shared" si="95"/>
        <v>33</v>
      </c>
      <c r="CS5" s="76">
        <f t="shared" si="96"/>
        <v>11</v>
      </c>
      <c r="CT5" s="79">
        <f t="shared" si="97"/>
        <v>0.82499999999999996</v>
      </c>
      <c r="CU5" s="83">
        <f t="shared" si="98"/>
        <v>207.9</v>
      </c>
      <c r="CV5" s="83">
        <f t="shared" si="99"/>
        <v>164</v>
      </c>
      <c r="CW5" s="84">
        <f t="shared" si="100"/>
        <v>0.78884078884078879</v>
      </c>
      <c r="CX5" s="364">
        <f t="shared" si="101"/>
        <v>2</v>
      </c>
      <c r="CY5" s="365">
        <f t="shared" si="102"/>
        <v>0.66666666666666663</v>
      </c>
      <c r="CZ5" s="75">
        <f t="shared" si="103"/>
        <v>4</v>
      </c>
      <c r="DA5" s="76">
        <f t="shared" si="104"/>
        <v>1.3333333333333333</v>
      </c>
      <c r="DB5" s="75">
        <f t="shared" si="105"/>
        <v>4</v>
      </c>
      <c r="DC5" s="76">
        <f t="shared" si="106"/>
        <v>1.3333333333333333</v>
      </c>
      <c r="DD5" s="75">
        <f t="shared" si="107"/>
        <v>0.89999999999999991</v>
      </c>
      <c r="DE5" s="76">
        <f t="shared" si="108"/>
        <v>0.3</v>
      </c>
      <c r="DF5" s="75">
        <f t="shared" si="109"/>
        <v>201</v>
      </c>
      <c r="DG5" s="76">
        <f t="shared" si="110"/>
        <v>67</v>
      </c>
      <c r="DH5" s="75">
        <f t="shared" si="111"/>
        <v>6</v>
      </c>
      <c r="DI5" s="6">
        <f t="shared" si="112"/>
        <v>4.93</v>
      </c>
      <c r="DJ5" s="5">
        <f t="shared" si="113"/>
        <v>1.6433333333333333</v>
      </c>
      <c r="DK5" s="6">
        <f t="shared" si="114"/>
        <v>2</v>
      </c>
      <c r="DL5" s="5">
        <f t="shared" si="115"/>
        <v>0.66666666666666663</v>
      </c>
      <c r="DM5" s="5">
        <f t="shared" si="116"/>
        <v>70</v>
      </c>
      <c r="DN5" s="21">
        <f t="shared" si="117"/>
        <v>0</v>
      </c>
      <c r="DO5" s="5">
        <f t="shared" si="118"/>
        <v>0.03</v>
      </c>
      <c r="DP5" s="5">
        <f t="shared" si="119"/>
        <v>1.4999999999999999E-2</v>
      </c>
      <c r="DQ5" s="219">
        <f t="shared" si="120"/>
        <v>18</v>
      </c>
      <c r="DR5" s="220">
        <f t="shared" si="121"/>
        <v>6</v>
      </c>
      <c r="DS5" s="76">
        <f t="shared" si="122"/>
        <v>135</v>
      </c>
      <c r="DT5" s="76">
        <f t="shared" si="123"/>
        <v>67.5</v>
      </c>
      <c r="DU5" s="76">
        <f t="shared" si="124"/>
        <v>49.333333333333336</v>
      </c>
      <c r="DV5" s="76">
        <f t="shared" si="125"/>
        <v>41.333333333333336</v>
      </c>
      <c r="DW5" s="92">
        <f t="shared" si="126"/>
        <v>0.83783783783783783</v>
      </c>
      <c r="DX5" s="185">
        <f t="shared" si="127"/>
        <v>37.5</v>
      </c>
      <c r="DY5" s="204">
        <f t="shared" si="128"/>
        <v>12.5</v>
      </c>
      <c r="DZ5" s="206">
        <f t="shared" si="129"/>
        <v>8.3333333333333339</v>
      </c>
      <c r="EA5" s="205">
        <f t="shared" si="130"/>
        <v>51</v>
      </c>
      <c r="EB5" s="76">
        <f t="shared" si="131"/>
        <v>17</v>
      </c>
      <c r="EC5" s="56">
        <f t="shared" si="132"/>
        <v>40</v>
      </c>
      <c r="ED5" s="57">
        <f t="shared" si="133"/>
        <v>13.333333333333334</v>
      </c>
      <c r="EE5" s="76">
        <f t="shared" si="134"/>
        <v>12</v>
      </c>
      <c r="EF5" s="57">
        <f t="shared" si="135"/>
        <v>19.71</v>
      </c>
      <c r="EG5" s="62">
        <f t="shared" si="136"/>
        <v>6.57</v>
      </c>
      <c r="EH5" s="298" t="s">
        <v>808</v>
      </c>
      <c r="EI5" s="294" t="s">
        <v>13</v>
      </c>
      <c r="EJ5" s="294" t="s">
        <v>791</v>
      </c>
      <c r="EK5" s="294" t="s">
        <v>809</v>
      </c>
      <c r="EL5" s="294">
        <v>26</v>
      </c>
      <c r="EM5" s="294" t="s">
        <v>801</v>
      </c>
      <c r="EN5" s="294" t="s">
        <v>583</v>
      </c>
      <c r="EO5" s="294" t="s">
        <v>790</v>
      </c>
      <c r="EP5" s="392">
        <v>0</v>
      </c>
      <c r="EQ5" s="294" t="s">
        <v>810</v>
      </c>
      <c r="ER5" s="295">
        <v>46356</v>
      </c>
      <c r="ES5" s="294">
        <v>270</v>
      </c>
      <c r="ET5" s="294">
        <v>3</v>
      </c>
      <c r="EU5" s="294">
        <v>0</v>
      </c>
      <c r="EV5" s="294">
        <v>0</v>
      </c>
      <c r="EW5" s="294">
        <v>0</v>
      </c>
      <c r="EX5" s="294">
        <v>0</v>
      </c>
      <c r="EY5" s="294">
        <v>1</v>
      </c>
      <c r="EZ5" s="294">
        <v>13.3</v>
      </c>
      <c r="FA5" s="294">
        <v>12</v>
      </c>
      <c r="FB5" s="294" t="s">
        <v>811</v>
      </c>
      <c r="FC5" s="294" t="s">
        <v>806</v>
      </c>
      <c r="FD5" s="294">
        <v>1</v>
      </c>
      <c r="FE5" s="294">
        <v>1</v>
      </c>
      <c r="FF5" s="294">
        <v>148</v>
      </c>
      <c r="FG5" s="294">
        <v>124</v>
      </c>
      <c r="FH5" s="294">
        <v>2</v>
      </c>
      <c r="FI5" s="294">
        <v>14</v>
      </c>
      <c r="FJ5" s="294">
        <v>2</v>
      </c>
      <c r="FK5" s="294">
        <v>1</v>
      </c>
      <c r="FL5" s="294">
        <v>1</v>
      </c>
      <c r="FM5" s="294">
        <v>15</v>
      </c>
      <c r="FN5" s="294">
        <v>11</v>
      </c>
      <c r="FO5" s="294">
        <v>37</v>
      </c>
      <c r="FP5" s="294">
        <v>7</v>
      </c>
      <c r="FQ5" s="294">
        <v>4</v>
      </c>
      <c r="FR5" s="294">
        <v>2</v>
      </c>
      <c r="FS5" s="294">
        <v>13</v>
      </c>
      <c r="FT5" s="294">
        <v>9</v>
      </c>
      <c r="FU5" s="294">
        <v>1</v>
      </c>
      <c r="FV5" s="294">
        <v>13</v>
      </c>
      <c r="FW5" s="294">
        <v>1</v>
      </c>
      <c r="FX5" s="294">
        <v>0</v>
      </c>
      <c r="FY5" s="294">
        <v>0.3</v>
      </c>
      <c r="FZ5" s="294">
        <v>0</v>
      </c>
      <c r="GA5" s="294">
        <v>0</v>
      </c>
      <c r="GB5" s="294">
        <v>2</v>
      </c>
      <c r="GC5" s="294">
        <v>2</v>
      </c>
      <c r="GD5" s="294">
        <v>3</v>
      </c>
      <c r="GE5" s="294">
        <v>0</v>
      </c>
      <c r="GF5" s="294">
        <v>1</v>
      </c>
      <c r="GG5" s="294">
        <v>0</v>
      </c>
      <c r="GH5" s="294">
        <v>0</v>
      </c>
      <c r="GI5" s="294">
        <v>17</v>
      </c>
      <c r="GJ5" s="294">
        <v>0</v>
      </c>
      <c r="GK5" s="294">
        <v>0</v>
      </c>
      <c r="GL5" s="294" t="s">
        <v>812</v>
      </c>
      <c r="GM5" s="299">
        <v>6.57</v>
      </c>
    </row>
    <row r="6" spans="1:195" ht="24.95" customHeight="1" thickBot="1" x14ac:dyDescent="0.3">
      <c r="A6" s="29" t="str">
        <f t="shared" si="0"/>
        <v>5º</v>
      </c>
      <c r="B6" s="69" t="str">
        <f t="shared" si="1"/>
        <v>Gabriel Ramos</v>
      </c>
      <c r="C6" s="86" t="str">
        <f t="shared" si="2"/>
        <v>BRA</v>
      </c>
      <c r="D6" s="376" t="str">
        <f t="shared" si="3"/>
        <v>M (E), MO (EC)</v>
      </c>
      <c r="E6" s="253" t="str">
        <f t="shared" si="4"/>
        <v>São José (SP)</v>
      </c>
      <c r="F6" s="36">
        <f t="shared" si="5"/>
        <v>29</v>
      </c>
      <c r="G6" s="370">
        <f t="shared" si="6"/>
        <v>46155</v>
      </c>
      <c r="H6" s="327" t="str">
        <f t="shared" si="7"/>
        <v>€20,5m p/m</v>
      </c>
      <c r="I6" s="96">
        <f t="shared" si="8"/>
        <v>2.8022222222222224</v>
      </c>
      <c r="J6" s="194">
        <f t="shared" si="9"/>
        <v>2.6888888888888891</v>
      </c>
      <c r="K6" s="194">
        <f t="shared" si="10"/>
        <v>3</v>
      </c>
      <c r="L6" s="194">
        <f t="shared" si="11"/>
        <v>80.666666666666671</v>
      </c>
      <c r="M6" s="195">
        <f t="shared" si="12"/>
        <v>1</v>
      </c>
      <c r="N6" s="6">
        <f t="shared" si="13"/>
        <v>0</v>
      </c>
      <c r="O6" s="24">
        <f t="shared" si="14"/>
        <v>5400</v>
      </c>
      <c r="P6" s="21">
        <f t="shared" si="15"/>
        <v>0</v>
      </c>
      <c r="Q6" s="58">
        <f t="shared" si="16"/>
        <v>0</v>
      </c>
      <c r="R6" s="58">
        <f t="shared" si="17"/>
        <v>3</v>
      </c>
      <c r="S6" s="58">
        <f t="shared" si="18"/>
        <v>3</v>
      </c>
      <c r="T6" s="76">
        <f t="shared" si="19"/>
        <v>0</v>
      </c>
      <c r="U6" s="76">
        <f t="shared" si="20"/>
        <v>1.1157024793388428</v>
      </c>
      <c r="V6" s="76">
        <f t="shared" si="21"/>
        <v>1.1157024793388428</v>
      </c>
      <c r="W6" s="76">
        <f t="shared" si="22"/>
        <v>0.34</v>
      </c>
      <c r="X6" s="76">
        <f t="shared" si="23"/>
        <v>0.34</v>
      </c>
      <c r="Y6" s="76">
        <f t="shared" si="24"/>
        <v>0.12644628099173555</v>
      </c>
      <c r="Z6" s="76">
        <f t="shared" si="25"/>
        <v>0.98</v>
      </c>
      <c r="AA6" s="76">
        <f t="shared" si="26"/>
        <v>0.36446280991735536</v>
      </c>
      <c r="AB6" s="76">
        <f t="shared" si="27"/>
        <v>1.32</v>
      </c>
      <c r="AC6" s="76">
        <f t="shared" si="28"/>
        <v>0.49090909090909091</v>
      </c>
      <c r="AD6" s="6">
        <f t="shared" si="29"/>
        <v>8</v>
      </c>
      <c r="AE6" s="5">
        <f t="shared" si="30"/>
        <v>2.9752066115702478</v>
      </c>
      <c r="AF6" s="6">
        <f t="shared" si="31"/>
        <v>5</v>
      </c>
      <c r="AG6" s="5">
        <f t="shared" si="32"/>
        <v>1.8595041322314048</v>
      </c>
      <c r="AH6" s="6">
        <f t="shared" si="33"/>
        <v>3</v>
      </c>
      <c r="AI6" s="5">
        <f t="shared" si="34"/>
        <v>1.1157024793388428</v>
      </c>
      <c r="AJ6" s="21">
        <f t="shared" si="35"/>
        <v>0.375</v>
      </c>
      <c r="AK6" s="76">
        <f t="shared" si="36"/>
        <v>50</v>
      </c>
      <c r="AL6" s="76">
        <f t="shared" si="37"/>
        <v>50</v>
      </c>
      <c r="AM6" s="20">
        <f t="shared" si="38"/>
        <v>0</v>
      </c>
      <c r="AN6" s="76">
        <f t="shared" si="39"/>
        <v>30.25</v>
      </c>
      <c r="AO6" s="76">
        <f t="shared" si="40"/>
        <v>80.666666666666671</v>
      </c>
      <c r="AP6" s="76">
        <f t="shared" si="41"/>
        <v>242</v>
      </c>
      <c r="AQ6" s="76">
        <f t="shared" si="42"/>
        <v>80.666666666666671</v>
      </c>
      <c r="AR6" s="5">
        <f t="shared" si="43"/>
        <v>-0.34</v>
      </c>
      <c r="AS6" s="5">
        <f t="shared" si="44"/>
        <v>-0.34</v>
      </c>
      <c r="AT6" s="75">
        <f t="shared" si="45"/>
        <v>4</v>
      </c>
      <c r="AU6" s="76">
        <f t="shared" si="46"/>
        <v>1.4876033057851239</v>
      </c>
      <c r="AV6" s="75">
        <f t="shared" si="47"/>
        <v>10</v>
      </c>
      <c r="AW6" s="75">
        <f t="shared" si="48"/>
        <v>8</v>
      </c>
      <c r="AX6" s="75">
        <f t="shared" si="49"/>
        <v>2</v>
      </c>
      <c r="AY6" s="76">
        <f t="shared" si="50"/>
        <v>2.9752066115702478</v>
      </c>
      <c r="AZ6" s="79">
        <f t="shared" si="51"/>
        <v>0.8</v>
      </c>
      <c r="BA6" s="75">
        <f t="shared" si="52"/>
        <v>8</v>
      </c>
      <c r="BB6" s="75">
        <f t="shared" si="53"/>
        <v>2</v>
      </c>
      <c r="BC6" s="76">
        <f t="shared" si="54"/>
        <v>0.74380165289256195</v>
      </c>
      <c r="BD6" s="75">
        <f t="shared" si="55"/>
        <v>1</v>
      </c>
      <c r="BE6" s="76">
        <f t="shared" si="56"/>
        <v>0.37190082644628097</v>
      </c>
      <c r="BF6" s="79">
        <f t="shared" si="57"/>
        <v>0.25</v>
      </c>
      <c r="BG6" s="270">
        <f t="shared" si="58"/>
        <v>5</v>
      </c>
      <c r="BH6" s="269">
        <f t="shared" si="59"/>
        <v>1.8595041322314048</v>
      </c>
      <c r="BI6" s="270">
        <f t="shared" si="60"/>
        <v>0</v>
      </c>
      <c r="BJ6" s="269">
        <f t="shared" si="61"/>
        <v>0</v>
      </c>
      <c r="BK6" s="270">
        <f t="shared" si="62"/>
        <v>0</v>
      </c>
      <c r="BL6" s="269">
        <f t="shared" si="63"/>
        <v>0</v>
      </c>
      <c r="BM6" s="270">
        <f t="shared" si="64"/>
        <v>0</v>
      </c>
      <c r="BN6" s="79">
        <f t="shared" si="65"/>
        <v>0</v>
      </c>
      <c r="BO6" s="76">
        <f t="shared" si="66"/>
        <v>-4.4000000000000004</v>
      </c>
      <c r="BP6" s="75">
        <f t="shared" si="67"/>
        <v>14</v>
      </c>
      <c r="BQ6" s="75">
        <f t="shared" si="68"/>
        <v>4</v>
      </c>
      <c r="BR6" s="158">
        <f t="shared" si="69"/>
        <v>0.2857142857142857</v>
      </c>
      <c r="BS6" s="75">
        <f t="shared" si="70"/>
        <v>32</v>
      </c>
      <c r="BT6" s="76">
        <f t="shared" si="71"/>
        <v>11.900826446280991</v>
      </c>
      <c r="BU6" s="75">
        <f t="shared" si="72"/>
        <v>14</v>
      </c>
      <c r="BV6" s="76">
        <f t="shared" si="73"/>
        <v>5.2066115702479339</v>
      </c>
      <c r="BW6" s="158">
        <f t="shared" si="74"/>
        <v>0.4375</v>
      </c>
      <c r="BX6" s="75">
        <f t="shared" si="75"/>
        <v>2</v>
      </c>
      <c r="BY6" s="76">
        <f t="shared" si="76"/>
        <v>0.74380165289256195</v>
      </c>
      <c r="BZ6" s="75">
        <f t="shared" si="77"/>
        <v>6</v>
      </c>
      <c r="CA6" s="76">
        <f t="shared" si="78"/>
        <v>2.2314049586776856</v>
      </c>
      <c r="CB6" s="306">
        <f t="shared" si="79"/>
        <v>0</v>
      </c>
      <c r="CC6" s="307">
        <f t="shared" si="80"/>
        <v>0</v>
      </c>
      <c r="CD6" s="306">
        <f t="shared" si="81"/>
        <v>0</v>
      </c>
      <c r="CE6" s="307">
        <f t="shared" si="82"/>
        <v>0</v>
      </c>
      <c r="CF6" s="305">
        <f t="shared" si="83"/>
        <v>0</v>
      </c>
      <c r="CG6" s="306">
        <f t="shared" si="84"/>
        <v>0</v>
      </c>
      <c r="CH6" s="306">
        <f t="shared" si="85"/>
        <v>0</v>
      </c>
      <c r="CI6" s="347">
        <f t="shared" si="86"/>
        <v>0</v>
      </c>
      <c r="CJ6" s="346">
        <f t="shared" si="87"/>
        <v>1E-8</v>
      </c>
      <c r="CK6" s="75">
        <f t="shared" si="88"/>
        <v>38.882222222222225</v>
      </c>
      <c r="CL6" s="76">
        <f t="shared" si="89"/>
        <v>14.460330578512396</v>
      </c>
      <c r="CM6" s="75">
        <f t="shared" si="90"/>
        <v>24</v>
      </c>
      <c r="CN6" s="76">
        <f t="shared" si="91"/>
        <v>8.9256198347107425</v>
      </c>
      <c r="CO6" s="79">
        <f t="shared" si="92"/>
        <v>0.6172486712007772</v>
      </c>
      <c r="CP6" s="75">
        <f t="shared" si="93"/>
        <v>20</v>
      </c>
      <c r="CQ6" s="76">
        <f t="shared" si="94"/>
        <v>7.438016528925619</v>
      </c>
      <c r="CR6" s="75">
        <f t="shared" si="95"/>
        <v>12</v>
      </c>
      <c r="CS6" s="76">
        <f t="shared" si="96"/>
        <v>4.4628099173553712</v>
      </c>
      <c r="CT6" s="79">
        <f t="shared" si="97"/>
        <v>0.6</v>
      </c>
      <c r="CU6" s="83">
        <f t="shared" si="98"/>
        <v>160.88222222222223</v>
      </c>
      <c r="CV6" s="83">
        <f t="shared" si="99"/>
        <v>125</v>
      </c>
      <c r="CW6" s="84">
        <f t="shared" si="100"/>
        <v>0.77696589637692171</v>
      </c>
      <c r="CX6" s="364">
        <f t="shared" si="101"/>
        <v>8</v>
      </c>
      <c r="CY6" s="365">
        <f t="shared" si="102"/>
        <v>2.9752066115702478</v>
      </c>
      <c r="CZ6" s="75">
        <f t="shared" si="103"/>
        <v>9</v>
      </c>
      <c r="DA6" s="76">
        <f t="shared" si="104"/>
        <v>3.3471074380165287</v>
      </c>
      <c r="DB6" s="75">
        <f t="shared" si="105"/>
        <v>15</v>
      </c>
      <c r="DC6" s="76">
        <f t="shared" si="106"/>
        <v>5.5785123966942143</v>
      </c>
      <c r="DD6" s="75">
        <f t="shared" si="107"/>
        <v>1.8822222222222222</v>
      </c>
      <c r="DE6" s="76">
        <f t="shared" si="108"/>
        <v>0.7</v>
      </c>
      <c r="DF6" s="75">
        <f t="shared" si="109"/>
        <v>146</v>
      </c>
      <c r="DG6" s="76">
        <f t="shared" si="110"/>
        <v>54.297520661157023</v>
      </c>
      <c r="DH6" s="75">
        <f t="shared" si="111"/>
        <v>22.5</v>
      </c>
      <c r="DI6" s="6">
        <f t="shared" si="112"/>
        <v>14.362222222222222</v>
      </c>
      <c r="DJ6" s="5">
        <f t="shared" si="113"/>
        <v>5.3413223140495862</v>
      </c>
      <c r="DK6" s="6">
        <f t="shared" si="114"/>
        <v>5</v>
      </c>
      <c r="DL6" s="5">
        <f t="shared" si="115"/>
        <v>1.8595041322314048</v>
      </c>
      <c r="DM6" s="5">
        <f t="shared" si="116"/>
        <v>1.6666666666666667</v>
      </c>
      <c r="DN6" s="21">
        <f t="shared" si="117"/>
        <v>0.6</v>
      </c>
      <c r="DO6" s="5">
        <f t="shared" si="118"/>
        <v>-2.02</v>
      </c>
      <c r="DP6" s="5">
        <f t="shared" si="119"/>
        <v>0.19600000000000001</v>
      </c>
      <c r="DQ6" s="219">
        <f t="shared" si="120"/>
        <v>31</v>
      </c>
      <c r="DR6" s="220">
        <f t="shared" si="121"/>
        <v>11.528925619834709</v>
      </c>
      <c r="DS6" s="76">
        <f t="shared" si="122"/>
        <v>48.4</v>
      </c>
      <c r="DT6" s="76">
        <f t="shared" si="123"/>
        <v>24.2</v>
      </c>
      <c r="DU6" s="76">
        <f t="shared" si="124"/>
        <v>37.933884297520656</v>
      </c>
      <c r="DV6" s="76">
        <f t="shared" si="125"/>
        <v>33.099173553719005</v>
      </c>
      <c r="DW6" s="92">
        <f t="shared" si="126"/>
        <v>0.87254901960784315</v>
      </c>
      <c r="DX6" s="185">
        <f t="shared" si="127"/>
        <v>30.6</v>
      </c>
      <c r="DY6" s="204">
        <f t="shared" si="128"/>
        <v>11.380165289256198</v>
      </c>
      <c r="DZ6" s="206">
        <f t="shared" si="129"/>
        <v>7.5867768595041314</v>
      </c>
      <c r="EA6" s="205">
        <f t="shared" si="130"/>
        <v>9.9488888888888898</v>
      </c>
      <c r="EB6" s="76">
        <f t="shared" si="131"/>
        <v>3.7</v>
      </c>
      <c r="EC6" s="56">
        <f t="shared" si="132"/>
        <v>28</v>
      </c>
      <c r="ED6" s="57">
        <f t="shared" si="133"/>
        <v>10.413223140495868</v>
      </c>
      <c r="EE6" s="76">
        <f t="shared" si="134"/>
        <v>7.4</v>
      </c>
      <c r="EF6" s="57">
        <f t="shared" si="135"/>
        <v>18.822222222222223</v>
      </c>
      <c r="EG6" s="62">
        <f t="shared" si="136"/>
        <v>7</v>
      </c>
      <c r="EH6" s="298"/>
      <c r="EI6" s="294" t="s">
        <v>13</v>
      </c>
      <c r="EJ6" s="294" t="s">
        <v>833</v>
      </c>
      <c r="EK6" s="294" t="s">
        <v>834</v>
      </c>
      <c r="EL6" s="294">
        <v>29</v>
      </c>
      <c r="EM6" s="294" t="s">
        <v>801</v>
      </c>
      <c r="EN6" s="294" t="s">
        <v>556</v>
      </c>
      <c r="EO6" s="294" t="s">
        <v>790</v>
      </c>
      <c r="EP6" s="294" t="s">
        <v>835</v>
      </c>
      <c r="EQ6" s="294" t="s">
        <v>836</v>
      </c>
      <c r="ER6" s="295">
        <v>46155</v>
      </c>
      <c r="ES6" s="294">
        <v>242</v>
      </c>
      <c r="ET6" s="294">
        <v>3</v>
      </c>
      <c r="EU6" s="294">
        <v>0</v>
      </c>
      <c r="EV6" s="294">
        <v>0</v>
      </c>
      <c r="EW6" s="294">
        <v>3</v>
      </c>
      <c r="EX6" s="294">
        <v>34</v>
      </c>
      <c r="EY6" s="294">
        <v>2</v>
      </c>
      <c r="EZ6" s="294">
        <v>3</v>
      </c>
      <c r="FA6" s="294">
        <v>7.4</v>
      </c>
      <c r="FB6" s="294" t="s">
        <v>794</v>
      </c>
      <c r="FC6" s="294" t="s">
        <v>837</v>
      </c>
      <c r="FD6" s="294">
        <v>5</v>
      </c>
      <c r="FE6" s="294">
        <v>7</v>
      </c>
      <c r="FF6" s="294">
        <v>102</v>
      </c>
      <c r="FG6" s="294">
        <v>89</v>
      </c>
      <c r="FH6" s="294">
        <v>5</v>
      </c>
      <c r="FI6" s="294">
        <v>14</v>
      </c>
      <c r="FJ6" s="294">
        <v>8</v>
      </c>
      <c r="FK6" s="294">
        <v>8</v>
      </c>
      <c r="FL6" s="294">
        <v>3</v>
      </c>
      <c r="FM6" s="294">
        <v>10</v>
      </c>
      <c r="FN6" s="294">
        <v>8</v>
      </c>
      <c r="FO6" s="294">
        <v>14</v>
      </c>
      <c r="FP6" s="294">
        <v>4</v>
      </c>
      <c r="FQ6" s="294">
        <v>3</v>
      </c>
      <c r="FR6" s="294">
        <v>2</v>
      </c>
      <c r="FS6" s="294">
        <v>2</v>
      </c>
      <c r="FT6" s="294">
        <v>10</v>
      </c>
      <c r="FU6" s="294">
        <v>2</v>
      </c>
      <c r="FV6" s="294">
        <v>10</v>
      </c>
      <c r="FW6" s="294">
        <v>2</v>
      </c>
      <c r="FX6" s="294">
        <v>0</v>
      </c>
      <c r="FY6" s="294">
        <v>0.7</v>
      </c>
      <c r="FZ6" s="294">
        <v>0</v>
      </c>
      <c r="GA6" s="294">
        <v>4</v>
      </c>
      <c r="GB6" s="294">
        <v>0</v>
      </c>
      <c r="GC6" s="294">
        <v>0</v>
      </c>
      <c r="GD6" s="294">
        <v>0</v>
      </c>
      <c r="GE6" s="294">
        <v>0</v>
      </c>
      <c r="GF6" s="294">
        <v>0</v>
      </c>
      <c r="GG6" s="294">
        <v>0</v>
      </c>
      <c r="GH6" s="294">
        <v>0</v>
      </c>
      <c r="GI6" s="294">
        <v>3.7</v>
      </c>
      <c r="GJ6" s="294">
        <v>0</v>
      </c>
      <c r="GK6" s="294">
        <v>0</v>
      </c>
      <c r="GL6" s="294" t="s">
        <v>838</v>
      </c>
      <c r="GM6" s="299">
        <v>7</v>
      </c>
    </row>
    <row r="7" spans="1:195" ht="24.95" customHeight="1" thickBot="1" x14ac:dyDescent="0.3">
      <c r="A7" s="29" t="str">
        <f t="shared" si="0"/>
        <v>6º</v>
      </c>
      <c r="B7" s="69" t="str">
        <f t="shared" si="1"/>
        <v>Iran Sidny</v>
      </c>
      <c r="C7" s="86" t="str">
        <f t="shared" si="2"/>
        <v>BRA</v>
      </c>
      <c r="D7" s="376" t="str">
        <f t="shared" si="3"/>
        <v>D (C), MD</v>
      </c>
      <c r="E7" s="253" t="str">
        <f t="shared" si="4"/>
        <v>São José (SP)</v>
      </c>
      <c r="F7" s="36">
        <f t="shared" si="5"/>
        <v>30</v>
      </c>
      <c r="G7" s="370">
        <f t="shared" si="6"/>
        <v>46155</v>
      </c>
      <c r="H7" s="327" t="str">
        <f t="shared" si="7"/>
        <v>€2,3m p/m</v>
      </c>
      <c r="I7" s="96">
        <f t="shared" si="8"/>
        <v>2.8022222222222224</v>
      </c>
      <c r="J7" s="194">
        <f t="shared" si="9"/>
        <v>3</v>
      </c>
      <c r="K7" s="194">
        <f t="shared" si="10"/>
        <v>3</v>
      </c>
      <c r="L7" s="194">
        <f t="shared" si="11"/>
        <v>90</v>
      </c>
      <c r="M7" s="195">
        <f t="shared" si="12"/>
        <v>1</v>
      </c>
      <c r="N7" s="6">
        <f t="shared" si="13"/>
        <v>0</v>
      </c>
      <c r="O7" s="24">
        <f t="shared" si="14"/>
        <v>5400</v>
      </c>
      <c r="P7" s="21">
        <f t="shared" si="15"/>
        <v>0</v>
      </c>
      <c r="Q7" s="58">
        <f t="shared" si="16"/>
        <v>0</v>
      </c>
      <c r="R7" s="58">
        <f t="shared" si="17"/>
        <v>0</v>
      </c>
      <c r="S7" s="58">
        <f t="shared" si="18"/>
        <v>0</v>
      </c>
      <c r="T7" s="76">
        <f t="shared" si="19"/>
        <v>0</v>
      </c>
      <c r="U7" s="76">
        <f t="shared" si="20"/>
        <v>0</v>
      </c>
      <c r="V7" s="76">
        <f t="shared" si="21"/>
        <v>0</v>
      </c>
      <c r="W7" s="76">
        <f t="shared" si="22"/>
        <v>0.05</v>
      </c>
      <c r="X7" s="76">
        <f t="shared" si="23"/>
        <v>0.05</v>
      </c>
      <c r="Y7" s="76">
        <f t="shared" si="24"/>
        <v>1.6666666666666666E-2</v>
      </c>
      <c r="Z7" s="76">
        <f t="shared" si="25"/>
        <v>0</v>
      </c>
      <c r="AA7" s="76">
        <f t="shared" si="26"/>
        <v>0</v>
      </c>
      <c r="AB7" s="76">
        <f t="shared" si="27"/>
        <v>0.05</v>
      </c>
      <c r="AC7" s="76">
        <f t="shared" si="28"/>
        <v>1.6666666666666666E-2</v>
      </c>
      <c r="AD7" s="6">
        <f t="shared" si="29"/>
        <v>2</v>
      </c>
      <c r="AE7" s="5">
        <f t="shared" si="30"/>
        <v>0.66666666666666663</v>
      </c>
      <c r="AF7" s="6">
        <f t="shared" si="31"/>
        <v>1</v>
      </c>
      <c r="AG7" s="5">
        <f t="shared" si="32"/>
        <v>0.33333333333333331</v>
      </c>
      <c r="AH7" s="6">
        <f t="shared" si="33"/>
        <v>1</v>
      </c>
      <c r="AI7" s="5">
        <f t="shared" si="34"/>
        <v>0.33333333333333331</v>
      </c>
      <c r="AJ7" s="21">
        <f t="shared" si="35"/>
        <v>0.5</v>
      </c>
      <c r="AK7" s="76">
        <f t="shared" si="36"/>
        <v>50</v>
      </c>
      <c r="AL7" s="76">
        <f t="shared" si="37"/>
        <v>50</v>
      </c>
      <c r="AM7" s="20">
        <f t="shared" si="38"/>
        <v>0</v>
      </c>
      <c r="AN7" s="76">
        <f t="shared" si="39"/>
        <v>135</v>
      </c>
      <c r="AO7" s="76">
        <f t="shared" si="40"/>
        <v>270</v>
      </c>
      <c r="AP7" s="76">
        <f t="shared" si="41"/>
        <v>270</v>
      </c>
      <c r="AQ7" s="76">
        <f t="shared" si="42"/>
        <v>270</v>
      </c>
      <c r="AR7" s="5">
        <f t="shared" si="43"/>
        <v>-0.05</v>
      </c>
      <c r="AS7" s="5">
        <f t="shared" si="44"/>
        <v>-0.05</v>
      </c>
      <c r="AT7" s="75">
        <f t="shared" si="45"/>
        <v>0</v>
      </c>
      <c r="AU7" s="76">
        <f t="shared" si="46"/>
        <v>0</v>
      </c>
      <c r="AV7" s="75">
        <f t="shared" si="47"/>
        <v>8</v>
      </c>
      <c r="AW7" s="75">
        <f t="shared" si="48"/>
        <v>4</v>
      </c>
      <c r="AX7" s="75">
        <f t="shared" si="49"/>
        <v>4</v>
      </c>
      <c r="AY7" s="76">
        <f t="shared" si="50"/>
        <v>1.3333333333333333</v>
      </c>
      <c r="AZ7" s="79">
        <f t="shared" si="51"/>
        <v>0.5</v>
      </c>
      <c r="BA7" s="75">
        <f t="shared" si="52"/>
        <v>0</v>
      </c>
      <c r="BB7" s="75">
        <f t="shared" si="53"/>
        <v>0</v>
      </c>
      <c r="BC7" s="76">
        <f t="shared" si="54"/>
        <v>0</v>
      </c>
      <c r="BD7" s="75">
        <f t="shared" si="55"/>
        <v>0</v>
      </c>
      <c r="BE7" s="76">
        <f t="shared" si="56"/>
        <v>0</v>
      </c>
      <c r="BF7" s="79">
        <f t="shared" si="57"/>
        <v>0</v>
      </c>
      <c r="BG7" s="270">
        <f t="shared" si="58"/>
        <v>0</v>
      </c>
      <c r="BH7" s="269">
        <f t="shared" si="59"/>
        <v>0</v>
      </c>
      <c r="BI7" s="270">
        <f t="shared" si="60"/>
        <v>0</v>
      </c>
      <c r="BJ7" s="269">
        <f t="shared" si="61"/>
        <v>0</v>
      </c>
      <c r="BK7" s="270">
        <f t="shared" si="62"/>
        <v>0</v>
      </c>
      <c r="BL7" s="269">
        <f t="shared" si="63"/>
        <v>0</v>
      </c>
      <c r="BM7" s="270">
        <f t="shared" si="64"/>
        <v>0</v>
      </c>
      <c r="BN7" s="79">
        <f t="shared" si="65"/>
        <v>0</v>
      </c>
      <c r="BO7" s="76">
        <f t="shared" si="66"/>
        <v>6.3</v>
      </c>
      <c r="BP7" s="75">
        <f t="shared" si="67"/>
        <v>8</v>
      </c>
      <c r="BQ7" s="75">
        <f t="shared" si="68"/>
        <v>2</v>
      </c>
      <c r="BR7" s="158">
        <f t="shared" si="69"/>
        <v>0.25</v>
      </c>
      <c r="BS7" s="75">
        <f t="shared" si="70"/>
        <v>16</v>
      </c>
      <c r="BT7" s="76">
        <f t="shared" si="71"/>
        <v>5.333333333333333</v>
      </c>
      <c r="BU7" s="75">
        <f t="shared" si="72"/>
        <v>6</v>
      </c>
      <c r="BV7" s="76">
        <f t="shared" si="73"/>
        <v>2</v>
      </c>
      <c r="BW7" s="158">
        <f t="shared" si="74"/>
        <v>0.375</v>
      </c>
      <c r="BX7" s="75">
        <f t="shared" si="75"/>
        <v>17</v>
      </c>
      <c r="BY7" s="76">
        <f t="shared" si="76"/>
        <v>5.666666666666667</v>
      </c>
      <c r="BZ7" s="75">
        <f t="shared" si="77"/>
        <v>2</v>
      </c>
      <c r="CA7" s="76">
        <f t="shared" si="78"/>
        <v>0.66666666666666663</v>
      </c>
      <c r="CB7" s="306">
        <f t="shared" si="79"/>
        <v>0</v>
      </c>
      <c r="CC7" s="307">
        <f t="shared" si="80"/>
        <v>0</v>
      </c>
      <c r="CD7" s="306">
        <f t="shared" si="81"/>
        <v>0</v>
      </c>
      <c r="CE7" s="307">
        <f t="shared" si="82"/>
        <v>0</v>
      </c>
      <c r="CF7" s="305">
        <f t="shared" si="83"/>
        <v>0</v>
      </c>
      <c r="CG7" s="306">
        <f t="shared" si="84"/>
        <v>0</v>
      </c>
      <c r="CH7" s="306">
        <f t="shared" si="85"/>
        <v>0</v>
      </c>
      <c r="CI7" s="347">
        <f t="shared" si="86"/>
        <v>0</v>
      </c>
      <c r="CJ7" s="346">
        <f t="shared" si="87"/>
        <v>1E-8</v>
      </c>
      <c r="CK7" s="75">
        <f t="shared" si="88"/>
        <v>2.9</v>
      </c>
      <c r="CL7" s="76">
        <f t="shared" si="89"/>
        <v>0.96666666666666667</v>
      </c>
      <c r="CM7" s="75">
        <f t="shared" si="90"/>
        <v>1</v>
      </c>
      <c r="CN7" s="76">
        <f t="shared" si="91"/>
        <v>0.33333333333333331</v>
      </c>
      <c r="CO7" s="79">
        <f t="shared" si="92"/>
        <v>0.34482758620689657</v>
      </c>
      <c r="CP7" s="75">
        <f t="shared" si="93"/>
        <v>28</v>
      </c>
      <c r="CQ7" s="76">
        <f t="shared" si="94"/>
        <v>9.3333333333333339</v>
      </c>
      <c r="CR7" s="75">
        <f t="shared" si="95"/>
        <v>21</v>
      </c>
      <c r="CS7" s="76">
        <f t="shared" si="96"/>
        <v>7</v>
      </c>
      <c r="CT7" s="79">
        <f t="shared" si="97"/>
        <v>0.75</v>
      </c>
      <c r="CU7" s="83">
        <f t="shared" si="98"/>
        <v>191.9</v>
      </c>
      <c r="CV7" s="83">
        <f t="shared" si="99"/>
        <v>172</v>
      </c>
      <c r="CW7" s="84">
        <f t="shared" si="100"/>
        <v>0.89630015633142257</v>
      </c>
      <c r="CX7" s="364">
        <f t="shared" si="101"/>
        <v>0</v>
      </c>
      <c r="CY7" s="365">
        <f t="shared" si="102"/>
        <v>0</v>
      </c>
      <c r="CZ7" s="75">
        <f t="shared" si="103"/>
        <v>0</v>
      </c>
      <c r="DA7" s="76">
        <f t="shared" si="104"/>
        <v>0</v>
      </c>
      <c r="DB7" s="75">
        <f t="shared" si="105"/>
        <v>2</v>
      </c>
      <c r="DC7" s="76">
        <f t="shared" si="106"/>
        <v>0.66666666666666663</v>
      </c>
      <c r="DD7" s="75">
        <f t="shared" si="107"/>
        <v>0.89999999999999991</v>
      </c>
      <c r="DE7" s="76">
        <f t="shared" si="108"/>
        <v>0.3</v>
      </c>
      <c r="DF7" s="75">
        <f t="shared" si="109"/>
        <v>185</v>
      </c>
      <c r="DG7" s="76">
        <f t="shared" si="110"/>
        <v>61.666666666666664</v>
      </c>
      <c r="DH7" s="75">
        <f t="shared" si="111"/>
        <v>1</v>
      </c>
      <c r="DI7" s="6">
        <f t="shared" si="112"/>
        <v>1.9</v>
      </c>
      <c r="DJ7" s="5">
        <f t="shared" si="113"/>
        <v>0.6333333333333333</v>
      </c>
      <c r="DK7" s="6">
        <f t="shared" si="114"/>
        <v>0</v>
      </c>
      <c r="DL7" s="5">
        <f t="shared" si="115"/>
        <v>0</v>
      </c>
      <c r="DM7" s="5">
        <f t="shared" si="116"/>
        <v>70</v>
      </c>
      <c r="DN7" s="21">
        <f t="shared" si="117"/>
        <v>0</v>
      </c>
      <c r="DO7" s="5">
        <f t="shared" si="118"/>
        <v>0</v>
      </c>
      <c r="DP7" s="5">
        <f t="shared" si="119"/>
        <v>0</v>
      </c>
      <c r="DQ7" s="219">
        <f t="shared" si="120"/>
        <v>2</v>
      </c>
      <c r="DR7" s="220">
        <f t="shared" si="121"/>
        <v>0.66666666666666663</v>
      </c>
      <c r="DS7" s="76">
        <f t="shared" si="122"/>
        <v>700</v>
      </c>
      <c r="DT7" s="76">
        <f t="shared" si="123"/>
        <v>270</v>
      </c>
      <c r="DU7" s="76">
        <f t="shared" si="124"/>
        <v>53.666666666666664</v>
      </c>
      <c r="DV7" s="76">
        <f t="shared" si="125"/>
        <v>50</v>
      </c>
      <c r="DW7" s="92">
        <f t="shared" si="126"/>
        <v>0.93167701863354035</v>
      </c>
      <c r="DX7" s="185">
        <f t="shared" si="127"/>
        <v>29.3</v>
      </c>
      <c r="DY7" s="204">
        <f t="shared" si="128"/>
        <v>9.7666666666666675</v>
      </c>
      <c r="DZ7" s="206">
        <f t="shared" si="129"/>
        <v>6.5111111111111111</v>
      </c>
      <c r="EA7" s="205">
        <f t="shared" si="130"/>
        <v>8.1000000000000014</v>
      </c>
      <c r="EB7" s="76">
        <f t="shared" si="131"/>
        <v>2.7</v>
      </c>
      <c r="EC7" s="56">
        <f t="shared" si="132"/>
        <v>16</v>
      </c>
      <c r="ED7" s="57">
        <f t="shared" si="133"/>
        <v>5.333333333333333</v>
      </c>
      <c r="EE7" s="76">
        <f t="shared" si="134"/>
        <v>3.7</v>
      </c>
      <c r="EF7" s="57">
        <f t="shared" si="135"/>
        <v>20.309999999999999</v>
      </c>
      <c r="EG7" s="62">
        <f t="shared" si="136"/>
        <v>6.77</v>
      </c>
      <c r="EH7" s="298"/>
      <c r="EI7" s="294" t="s">
        <v>13</v>
      </c>
      <c r="EJ7" s="294" t="s">
        <v>817</v>
      </c>
      <c r="EK7" s="294" t="s">
        <v>818</v>
      </c>
      <c r="EL7" s="294">
        <v>30</v>
      </c>
      <c r="EM7" s="294" t="s">
        <v>801</v>
      </c>
      <c r="EN7" s="294" t="s">
        <v>556</v>
      </c>
      <c r="EO7" s="294" t="s">
        <v>602</v>
      </c>
      <c r="EP7" s="294" t="s">
        <v>819</v>
      </c>
      <c r="EQ7" s="294" t="s">
        <v>810</v>
      </c>
      <c r="ER7" s="295">
        <v>46155</v>
      </c>
      <c r="ES7" s="294">
        <v>270</v>
      </c>
      <c r="ET7" s="294">
        <v>3</v>
      </c>
      <c r="EU7" s="294">
        <v>0</v>
      </c>
      <c r="EV7" s="294">
        <v>0</v>
      </c>
      <c r="EW7" s="294">
        <v>0</v>
      </c>
      <c r="EX7" s="294">
        <v>2</v>
      </c>
      <c r="EY7" s="294">
        <v>0</v>
      </c>
      <c r="EZ7" s="294">
        <v>10</v>
      </c>
      <c r="FA7" s="294">
        <v>3.7</v>
      </c>
      <c r="FB7" s="294" t="s">
        <v>820</v>
      </c>
      <c r="FC7" s="294">
        <v>0</v>
      </c>
      <c r="FD7" s="294">
        <v>0</v>
      </c>
      <c r="FE7" s="294">
        <v>0</v>
      </c>
      <c r="FF7" s="294">
        <v>161</v>
      </c>
      <c r="FG7" s="294">
        <v>150</v>
      </c>
      <c r="FH7" s="294">
        <v>0</v>
      </c>
      <c r="FI7" s="294">
        <v>7</v>
      </c>
      <c r="FJ7" s="294">
        <v>0</v>
      </c>
      <c r="FK7" s="294">
        <v>2</v>
      </c>
      <c r="FL7" s="294">
        <v>1</v>
      </c>
      <c r="FM7" s="294">
        <v>8</v>
      </c>
      <c r="FN7" s="294">
        <v>4</v>
      </c>
      <c r="FO7" s="294">
        <v>8</v>
      </c>
      <c r="FP7" s="294">
        <v>2</v>
      </c>
      <c r="FQ7" s="294">
        <v>0</v>
      </c>
      <c r="FR7" s="294">
        <v>0</v>
      </c>
      <c r="FS7" s="294">
        <v>12</v>
      </c>
      <c r="FT7" s="294">
        <v>0</v>
      </c>
      <c r="FU7" s="294">
        <v>0</v>
      </c>
      <c r="FV7" s="294">
        <v>0</v>
      </c>
      <c r="FW7" s="294">
        <v>0</v>
      </c>
      <c r="FX7" s="294">
        <v>0</v>
      </c>
      <c r="FY7" s="294">
        <v>0.3</v>
      </c>
      <c r="FZ7" s="294">
        <v>0</v>
      </c>
      <c r="GA7" s="294">
        <v>0</v>
      </c>
      <c r="GB7" s="294">
        <v>1</v>
      </c>
      <c r="GC7" s="294">
        <v>1</v>
      </c>
      <c r="GD7" s="294">
        <v>3</v>
      </c>
      <c r="GE7" s="294">
        <v>0</v>
      </c>
      <c r="GF7" s="294">
        <v>0</v>
      </c>
      <c r="GG7" s="294">
        <v>0</v>
      </c>
      <c r="GH7" s="294">
        <v>1</v>
      </c>
      <c r="GI7" s="294">
        <v>2.7</v>
      </c>
      <c r="GJ7" s="294">
        <v>0</v>
      </c>
      <c r="GK7" s="294">
        <v>0</v>
      </c>
      <c r="GL7" s="294" t="s">
        <v>821</v>
      </c>
      <c r="GM7" s="299">
        <v>6.77</v>
      </c>
    </row>
    <row r="8" spans="1:195" ht="24.95" customHeight="1" thickBot="1" x14ac:dyDescent="0.3">
      <c r="A8" s="29" t="str">
        <f t="shared" si="0"/>
        <v>7º</v>
      </c>
      <c r="B8" s="69" t="str">
        <f t="shared" si="1"/>
        <v>Lucas Reis</v>
      </c>
      <c r="C8" s="86" t="str">
        <f t="shared" si="2"/>
        <v>BRA</v>
      </c>
      <c r="D8" s="376" t="str">
        <f t="shared" si="3"/>
        <v>PL (C)</v>
      </c>
      <c r="E8" s="253" t="str">
        <f t="shared" si="4"/>
        <v>São José (SP)</v>
      </c>
      <c r="F8" s="36">
        <f t="shared" si="5"/>
        <v>24</v>
      </c>
      <c r="G8" s="370">
        <f t="shared" si="6"/>
        <v>46842</v>
      </c>
      <c r="H8" s="327" t="str">
        <f t="shared" si="7"/>
        <v>N/D</v>
      </c>
      <c r="I8" s="96">
        <f t="shared" si="8"/>
        <v>2.8022222222222224</v>
      </c>
      <c r="J8" s="194">
        <f t="shared" si="9"/>
        <v>2.9333333333333331</v>
      </c>
      <c r="K8" s="194">
        <f t="shared" si="10"/>
        <v>3</v>
      </c>
      <c r="L8" s="194">
        <f t="shared" si="11"/>
        <v>88</v>
      </c>
      <c r="M8" s="195">
        <f t="shared" si="12"/>
        <v>1</v>
      </c>
      <c r="N8" s="6">
        <f t="shared" si="13"/>
        <v>0</v>
      </c>
      <c r="O8" s="24">
        <f t="shared" si="14"/>
        <v>5400</v>
      </c>
      <c r="P8" s="21">
        <f t="shared" si="15"/>
        <v>0</v>
      </c>
      <c r="Q8" s="58">
        <f t="shared" si="16"/>
        <v>1</v>
      </c>
      <c r="R8" s="58">
        <f t="shared" si="17"/>
        <v>0</v>
      </c>
      <c r="S8" s="58">
        <f t="shared" si="18"/>
        <v>1</v>
      </c>
      <c r="T8" s="76">
        <f t="shared" si="19"/>
        <v>0.34090909090909094</v>
      </c>
      <c r="U8" s="76">
        <f t="shared" si="20"/>
        <v>0</v>
      </c>
      <c r="V8" s="76">
        <f t="shared" si="21"/>
        <v>0.34090909090909094</v>
      </c>
      <c r="W8" s="76">
        <f t="shared" si="22"/>
        <v>1.1399999999999999</v>
      </c>
      <c r="X8" s="76">
        <f t="shared" si="23"/>
        <v>1.1399999999999999</v>
      </c>
      <c r="Y8" s="76">
        <f t="shared" si="24"/>
        <v>0.38863636363636361</v>
      </c>
      <c r="Z8" s="76">
        <f t="shared" si="25"/>
        <v>0.08</v>
      </c>
      <c r="AA8" s="76">
        <f t="shared" si="26"/>
        <v>2.7272727272727275E-2</v>
      </c>
      <c r="AB8" s="76">
        <f t="shared" si="27"/>
        <v>1.22</v>
      </c>
      <c r="AC8" s="76">
        <f t="shared" si="28"/>
        <v>0.41590909090909089</v>
      </c>
      <c r="AD8" s="6">
        <f t="shared" si="29"/>
        <v>15</v>
      </c>
      <c r="AE8" s="5">
        <f t="shared" si="30"/>
        <v>5.1136363636363642</v>
      </c>
      <c r="AF8" s="6">
        <f t="shared" si="31"/>
        <v>6</v>
      </c>
      <c r="AG8" s="5">
        <f t="shared" si="32"/>
        <v>2.0454545454545454</v>
      </c>
      <c r="AH8" s="6">
        <f t="shared" si="33"/>
        <v>9</v>
      </c>
      <c r="AI8" s="5">
        <f t="shared" si="34"/>
        <v>3.0681818181818183</v>
      </c>
      <c r="AJ8" s="21">
        <f t="shared" si="35"/>
        <v>0.6</v>
      </c>
      <c r="AK8" s="76">
        <f t="shared" si="36"/>
        <v>15</v>
      </c>
      <c r="AL8" s="76">
        <f t="shared" si="37"/>
        <v>9</v>
      </c>
      <c r="AM8" s="20">
        <f t="shared" si="38"/>
        <v>6.6666666666666666E-2</v>
      </c>
      <c r="AN8" s="76">
        <f t="shared" si="39"/>
        <v>17.600000000000001</v>
      </c>
      <c r="AO8" s="76">
        <f t="shared" si="40"/>
        <v>29.333333333333332</v>
      </c>
      <c r="AP8" s="76">
        <f t="shared" si="41"/>
        <v>264</v>
      </c>
      <c r="AQ8" s="76">
        <f t="shared" si="42"/>
        <v>264</v>
      </c>
      <c r="AR8" s="5">
        <f t="shared" si="43"/>
        <v>-0.1399999999999999</v>
      </c>
      <c r="AS8" s="5">
        <f t="shared" si="44"/>
        <v>-0.1399999999999999</v>
      </c>
      <c r="AT8" s="75">
        <f t="shared" si="45"/>
        <v>4</v>
      </c>
      <c r="AU8" s="76">
        <f t="shared" si="46"/>
        <v>1.3636363636363638</v>
      </c>
      <c r="AV8" s="75">
        <f t="shared" si="47"/>
        <v>29</v>
      </c>
      <c r="AW8" s="75">
        <f t="shared" si="48"/>
        <v>18</v>
      </c>
      <c r="AX8" s="75">
        <f t="shared" si="49"/>
        <v>11</v>
      </c>
      <c r="AY8" s="76">
        <f t="shared" si="50"/>
        <v>6.1363636363636367</v>
      </c>
      <c r="AZ8" s="79">
        <f t="shared" si="51"/>
        <v>0.62068965517241381</v>
      </c>
      <c r="BA8" s="75">
        <f t="shared" si="52"/>
        <v>6</v>
      </c>
      <c r="BB8" s="75">
        <f t="shared" si="53"/>
        <v>1</v>
      </c>
      <c r="BC8" s="76">
        <f t="shared" si="54"/>
        <v>0.34090909090909094</v>
      </c>
      <c r="BD8" s="75">
        <f t="shared" si="55"/>
        <v>1</v>
      </c>
      <c r="BE8" s="76">
        <f t="shared" si="56"/>
        <v>0.34090909090909094</v>
      </c>
      <c r="BF8" s="79">
        <f t="shared" si="57"/>
        <v>0.16666666666666666</v>
      </c>
      <c r="BG8" s="270">
        <f t="shared" si="58"/>
        <v>4</v>
      </c>
      <c r="BH8" s="269">
        <f t="shared" si="59"/>
        <v>1.3636363636363638</v>
      </c>
      <c r="BI8" s="270">
        <f t="shared" si="60"/>
        <v>0</v>
      </c>
      <c r="BJ8" s="269">
        <f t="shared" si="61"/>
        <v>0</v>
      </c>
      <c r="BK8" s="270">
        <f t="shared" si="62"/>
        <v>0</v>
      </c>
      <c r="BL8" s="269">
        <f t="shared" si="63"/>
        <v>0</v>
      </c>
      <c r="BM8" s="270">
        <f t="shared" si="64"/>
        <v>0</v>
      </c>
      <c r="BN8" s="79">
        <f t="shared" si="65"/>
        <v>0</v>
      </c>
      <c r="BO8" s="76">
        <f t="shared" si="66"/>
        <v>-1.7</v>
      </c>
      <c r="BP8" s="75">
        <f t="shared" si="67"/>
        <v>3</v>
      </c>
      <c r="BQ8" s="75">
        <f t="shared" si="68"/>
        <v>2</v>
      </c>
      <c r="BR8" s="158">
        <f t="shared" si="69"/>
        <v>0.66666666666666663</v>
      </c>
      <c r="BS8" s="75">
        <f t="shared" si="70"/>
        <v>38</v>
      </c>
      <c r="BT8" s="76">
        <f t="shared" si="71"/>
        <v>12.954545454545455</v>
      </c>
      <c r="BU8" s="75">
        <f t="shared" si="72"/>
        <v>21</v>
      </c>
      <c r="BV8" s="76">
        <f t="shared" si="73"/>
        <v>7.1590909090909092</v>
      </c>
      <c r="BW8" s="158">
        <f t="shared" si="74"/>
        <v>0.55263157894736847</v>
      </c>
      <c r="BX8" s="75">
        <f t="shared" si="75"/>
        <v>3</v>
      </c>
      <c r="BY8" s="76">
        <f t="shared" si="76"/>
        <v>1.0227272727272727</v>
      </c>
      <c r="BZ8" s="75">
        <f t="shared" si="77"/>
        <v>3</v>
      </c>
      <c r="CA8" s="76">
        <f t="shared" si="78"/>
        <v>1.0227272727272727</v>
      </c>
      <c r="CB8" s="306">
        <f t="shared" si="79"/>
        <v>0</v>
      </c>
      <c r="CC8" s="307">
        <f t="shared" si="80"/>
        <v>0</v>
      </c>
      <c r="CD8" s="306">
        <f t="shared" si="81"/>
        <v>0</v>
      </c>
      <c r="CE8" s="307">
        <f t="shared" si="82"/>
        <v>0</v>
      </c>
      <c r="CF8" s="305">
        <f t="shared" si="83"/>
        <v>0</v>
      </c>
      <c r="CG8" s="306">
        <f t="shared" si="84"/>
        <v>0</v>
      </c>
      <c r="CH8" s="306">
        <f t="shared" si="85"/>
        <v>0</v>
      </c>
      <c r="CI8" s="347">
        <f t="shared" si="86"/>
        <v>0</v>
      </c>
      <c r="CJ8" s="346">
        <f t="shared" si="87"/>
        <v>1E-8</v>
      </c>
      <c r="CK8" s="75">
        <f t="shared" si="88"/>
        <v>24.933333333333334</v>
      </c>
      <c r="CL8" s="76">
        <f t="shared" si="89"/>
        <v>8.5</v>
      </c>
      <c r="CM8" s="75">
        <f t="shared" si="90"/>
        <v>15</v>
      </c>
      <c r="CN8" s="76">
        <f t="shared" si="91"/>
        <v>5.1136363636363642</v>
      </c>
      <c r="CO8" s="79">
        <f t="shared" si="92"/>
        <v>0.60160427807486627</v>
      </c>
      <c r="CP8" s="75">
        <f t="shared" si="93"/>
        <v>38</v>
      </c>
      <c r="CQ8" s="76">
        <f t="shared" si="94"/>
        <v>12.954545454545455</v>
      </c>
      <c r="CR8" s="75">
        <f t="shared" si="95"/>
        <v>22</v>
      </c>
      <c r="CS8" s="76">
        <f t="shared" si="96"/>
        <v>7.5000000000000009</v>
      </c>
      <c r="CT8" s="79">
        <f t="shared" si="97"/>
        <v>0.57894736842105265</v>
      </c>
      <c r="CU8" s="83">
        <f t="shared" si="98"/>
        <v>112.93333333333334</v>
      </c>
      <c r="CV8" s="83">
        <f t="shared" si="99"/>
        <v>81</v>
      </c>
      <c r="CW8" s="84">
        <f t="shared" si="100"/>
        <v>0.71723730814639908</v>
      </c>
      <c r="CX8" s="364">
        <f t="shared" si="101"/>
        <v>0</v>
      </c>
      <c r="CY8" s="365">
        <f t="shared" si="102"/>
        <v>0</v>
      </c>
      <c r="CZ8" s="75">
        <f t="shared" si="103"/>
        <v>2</v>
      </c>
      <c r="DA8" s="76">
        <f t="shared" si="104"/>
        <v>0.68181818181818188</v>
      </c>
      <c r="DB8" s="75">
        <f t="shared" si="105"/>
        <v>17</v>
      </c>
      <c r="DC8" s="76">
        <f t="shared" si="106"/>
        <v>5.7954545454545459</v>
      </c>
      <c r="DD8" s="75">
        <f t="shared" si="107"/>
        <v>2.9333333333333331</v>
      </c>
      <c r="DE8" s="76">
        <f t="shared" si="108"/>
        <v>1</v>
      </c>
      <c r="DF8" s="75">
        <f t="shared" si="109"/>
        <v>99</v>
      </c>
      <c r="DG8" s="76">
        <f t="shared" si="110"/>
        <v>33.75</v>
      </c>
      <c r="DH8" s="75">
        <f t="shared" si="111"/>
        <v>12.5</v>
      </c>
      <c r="DI8" s="6">
        <f t="shared" si="112"/>
        <v>14.513333333333334</v>
      </c>
      <c r="DJ8" s="5">
        <f t="shared" si="113"/>
        <v>4.9477272727272732</v>
      </c>
      <c r="DK8" s="6">
        <f t="shared" si="114"/>
        <v>2</v>
      </c>
      <c r="DL8" s="5">
        <f t="shared" si="115"/>
        <v>0.68181818181818188</v>
      </c>
      <c r="DM8" s="5">
        <f t="shared" si="116"/>
        <v>70</v>
      </c>
      <c r="DN8" s="21">
        <f t="shared" si="117"/>
        <v>0</v>
      </c>
      <c r="DO8" s="5">
        <f t="shared" si="118"/>
        <v>0.08</v>
      </c>
      <c r="DP8" s="5">
        <f t="shared" si="119"/>
        <v>0.04</v>
      </c>
      <c r="DQ8" s="219">
        <f t="shared" si="120"/>
        <v>18</v>
      </c>
      <c r="DR8" s="220">
        <f t="shared" si="121"/>
        <v>6.1363636363636367</v>
      </c>
      <c r="DS8" s="76">
        <f t="shared" si="122"/>
        <v>132</v>
      </c>
      <c r="DT8" s="76">
        <f t="shared" si="123"/>
        <v>24</v>
      </c>
      <c r="DU8" s="76">
        <f t="shared" si="124"/>
        <v>17.045454545454547</v>
      </c>
      <c r="DV8" s="76">
        <f t="shared" si="125"/>
        <v>15.000000000000002</v>
      </c>
      <c r="DW8" s="92">
        <f t="shared" si="126"/>
        <v>0.88</v>
      </c>
      <c r="DX8" s="185">
        <f t="shared" si="127"/>
        <v>29.2</v>
      </c>
      <c r="DY8" s="204">
        <f t="shared" si="128"/>
        <v>9.954545454545455</v>
      </c>
      <c r="DZ8" s="206">
        <f t="shared" si="129"/>
        <v>6.6363636363636358</v>
      </c>
      <c r="EA8" s="205">
        <f t="shared" si="130"/>
        <v>7.0399999999999991</v>
      </c>
      <c r="EB8" s="76">
        <f t="shared" si="131"/>
        <v>2.4</v>
      </c>
      <c r="EC8" s="56">
        <f t="shared" si="132"/>
        <v>24</v>
      </c>
      <c r="ED8" s="57">
        <f t="shared" si="133"/>
        <v>8.1818181818181817</v>
      </c>
      <c r="EE8" s="76">
        <f t="shared" si="134"/>
        <v>3.4</v>
      </c>
      <c r="EF8" s="57">
        <f t="shared" si="135"/>
        <v>19.653333333333332</v>
      </c>
      <c r="EG8" s="62">
        <f t="shared" si="136"/>
        <v>6.7</v>
      </c>
      <c r="EH8" s="298"/>
      <c r="EI8" s="294" t="s">
        <v>13</v>
      </c>
      <c r="EJ8" s="294" t="s">
        <v>658</v>
      </c>
      <c r="EK8" s="294" t="s">
        <v>822</v>
      </c>
      <c r="EL8" s="294">
        <v>24</v>
      </c>
      <c r="EM8" s="294" t="s">
        <v>801</v>
      </c>
      <c r="EN8" s="294" t="s">
        <v>639</v>
      </c>
      <c r="EO8" s="294" t="s">
        <v>602</v>
      </c>
      <c r="EP8" s="294" t="s">
        <v>823</v>
      </c>
      <c r="EQ8" s="294" t="s">
        <v>824</v>
      </c>
      <c r="ER8" s="295">
        <v>46842</v>
      </c>
      <c r="ES8" s="294">
        <v>264</v>
      </c>
      <c r="ET8" s="294">
        <v>3</v>
      </c>
      <c r="EU8" s="294">
        <v>0</v>
      </c>
      <c r="EV8" s="294">
        <v>1</v>
      </c>
      <c r="EW8" s="294">
        <v>0</v>
      </c>
      <c r="EX8" s="294">
        <v>1</v>
      </c>
      <c r="EY8" s="294">
        <v>0</v>
      </c>
      <c r="EZ8" s="294">
        <v>1.7</v>
      </c>
      <c r="FA8" s="294">
        <v>3.4</v>
      </c>
      <c r="FB8" s="294" t="s">
        <v>825</v>
      </c>
      <c r="FC8" s="294" t="s">
        <v>826</v>
      </c>
      <c r="FD8" s="294">
        <v>4</v>
      </c>
      <c r="FE8" s="294">
        <v>2</v>
      </c>
      <c r="FF8" s="294">
        <v>50</v>
      </c>
      <c r="FG8" s="294">
        <v>44</v>
      </c>
      <c r="FH8" s="294">
        <v>2</v>
      </c>
      <c r="FI8" s="294">
        <v>1</v>
      </c>
      <c r="FJ8" s="294">
        <v>0</v>
      </c>
      <c r="FK8" s="294">
        <v>15</v>
      </c>
      <c r="FL8" s="294">
        <v>9</v>
      </c>
      <c r="FM8" s="294">
        <v>29</v>
      </c>
      <c r="FN8" s="294">
        <v>18</v>
      </c>
      <c r="FO8" s="294">
        <v>3</v>
      </c>
      <c r="FP8" s="294">
        <v>2</v>
      </c>
      <c r="FQ8" s="294">
        <v>2</v>
      </c>
      <c r="FR8" s="294">
        <v>1</v>
      </c>
      <c r="FS8" s="294">
        <v>1</v>
      </c>
      <c r="FT8" s="294">
        <v>1</v>
      </c>
      <c r="FU8" s="294">
        <v>0</v>
      </c>
      <c r="FV8" s="294">
        <v>1</v>
      </c>
      <c r="FW8" s="294">
        <v>0</v>
      </c>
      <c r="FX8" s="294">
        <v>0</v>
      </c>
      <c r="FY8" s="294">
        <v>1</v>
      </c>
      <c r="FZ8" s="294">
        <v>0</v>
      </c>
      <c r="GA8" s="294">
        <v>4</v>
      </c>
      <c r="GB8" s="294">
        <v>1</v>
      </c>
      <c r="GC8" s="294">
        <v>1</v>
      </c>
      <c r="GD8" s="294">
        <v>0</v>
      </c>
      <c r="GE8" s="294">
        <v>0</v>
      </c>
      <c r="GF8" s="294">
        <v>0</v>
      </c>
      <c r="GG8" s="294">
        <v>0</v>
      </c>
      <c r="GH8" s="294">
        <v>0</v>
      </c>
      <c r="GI8" s="294">
        <v>2.4</v>
      </c>
      <c r="GJ8" s="294">
        <v>0</v>
      </c>
      <c r="GK8" s="294">
        <v>0</v>
      </c>
      <c r="GL8" s="294" t="s">
        <v>816</v>
      </c>
      <c r="GM8" s="299">
        <v>6.7</v>
      </c>
    </row>
    <row r="9" spans="1:195" ht="24.95" customHeight="1" thickBot="1" x14ac:dyDescent="0.3">
      <c r="A9" s="29" t="str">
        <f t="shared" si="0"/>
        <v>8º</v>
      </c>
      <c r="B9" s="69" t="str">
        <f t="shared" si="1"/>
        <v>Martineli</v>
      </c>
      <c r="C9" s="86" t="str">
        <f t="shared" si="2"/>
        <v>BRA</v>
      </c>
      <c r="D9" s="376" t="str">
        <f t="shared" si="3"/>
        <v>D (E), MD, M (C)</v>
      </c>
      <c r="E9" s="253" t="str">
        <f t="shared" si="4"/>
        <v>São José (SP)</v>
      </c>
      <c r="F9" s="36">
        <f t="shared" si="5"/>
        <v>26</v>
      </c>
      <c r="G9" s="370">
        <f t="shared" si="6"/>
        <v>46356</v>
      </c>
      <c r="H9" s="327" t="str">
        <f t="shared" si="7"/>
        <v>€3,4m p/m</v>
      </c>
      <c r="I9" s="96">
        <f t="shared" si="8"/>
        <v>2.8022222222222224</v>
      </c>
      <c r="J9" s="194">
        <f t="shared" si="9"/>
        <v>2.8555555555555556</v>
      </c>
      <c r="K9" s="194">
        <f t="shared" si="10"/>
        <v>3</v>
      </c>
      <c r="L9" s="194">
        <f t="shared" si="11"/>
        <v>85.666666666666671</v>
      </c>
      <c r="M9" s="195">
        <f t="shared" si="12"/>
        <v>1</v>
      </c>
      <c r="N9" s="6">
        <f t="shared" si="13"/>
        <v>0</v>
      </c>
      <c r="O9" s="24">
        <f t="shared" si="14"/>
        <v>5400</v>
      </c>
      <c r="P9" s="21">
        <f t="shared" si="15"/>
        <v>0</v>
      </c>
      <c r="Q9" s="58">
        <f t="shared" si="16"/>
        <v>0</v>
      </c>
      <c r="R9" s="58">
        <f t="shared" si="17"/>
        <v>0</v>
      </c>
      <c r="S9" s="58">
        <f t="shared" si="18"/>
        <v>0</v>
      </c>
      <c r="T9" s="76">
        <f t="shared" si="19"/>
        <v>0</v>
      </c>
      <c r="U9" s="76">
        <f t="shared" si="20"/>
        <v>0</v>
      </c>
      <c r="V9" s="76">
        <f t="shared" si="21"/>
        <v>0</v>
      </c>
      <c r="W9" s="76">
        <f t="shared" si="22"/>
        <v>0.03</v>
      </c>
      <c r="X9" s="76">
        <f t="shared" si="23"/>
        <v>0.03</v>
      </c>
      <c r="Y9" s="76">
        <f t="shared" si="24"/>
        <v>1.0505836575875485E-2</v>
      </c>
      <c r="Z9" s="76">
        <f t="shared" si="25"/>
        <v>0.2</v>
      </c>
      <c r="AA9" s="76">
        <f t="shared" si="26"/>
        <v>7.0038910505836577E-2</v>
      </c>
      <c r="AB9" s="76">
        <f t="shared" si="27"/>
        <v>0.23</v>
      </c>
      <c r="AC9" s="76">
        <f t="shared" si="28"/>
        <v>8.0544747081712068E-2</v>
      </c>
      <c r="AD9" s="6">
        <f t="shared" si="29"/>
        <v>1</v>
      </c>
      <c r="AE9" s="5">
        <f t="shared" si="30"/>
        <v>0.35019455252918286</v>
      </c>
      <c r="AF9" s="6">
        <f t="shared" si="31"/>
        <v>1</v>
      </c>
      <c r="AG9" s="5">
        <f t="shared" si="32"/>
        <v>0.35019455252918286</v>
      </c>
      <c r="AH9" s="6">
        <f t="shared" si="33"/>
        <v>0</v>
      </c>
      <c r="AI9" s="5">
        <f t="shared" si="34"/>
        <v>0</v>
      </c>
      <c r="AJ9" s="21">
        <f t="shared" si="35"/>
        <v>0</v>
      </c>
      <c r="AK9" s="76">
        <f t="shared" si="36"/>
        <v>50</v>
      </c>
      <c r="AL9" s="76">
        <f t="shared" si="37"/>
        <v>50</v>
      </c>
      <c r="AM9" s="20">
        <f t="shared" si="38"/>
        <v>0</v>
      </c>
      <c r="AN9" s="76">
        <f t="shared" si="39"/>
        <v>257</v>
      </c>
      <c r="AO9" s="76">
        <f t="shared" si="40"/>
        <v>700</v>
      </c>
      <c r="AP9" s="76">
        <f t="shared" si="41"/>
        <v>257</v>
      </c>
      <c r="AQ9" s="76">
        <f t="shared" si="42"/>
        <v>257</v>
      </c>
      <c r="AR9" s="5">
        <f t="shared" si="43"/>
        <v>-0.03</v>
      </c>
      <c r="AS9" s="5">
        <f t="shared" si="44"/>
        <v>-0.03</v>
      </c>
      <c r="AT9" s="75">
        <f t="shared" si="45"/>
        <v>1</v>
      </c>
      <c r="AU9" s="76">
        <f t="shared" si="46"/>
        <v>0.35019455252918286</v>
      </c>
      <c r="AV9" s="75">
        <f t="shared" si="47"/>
        <v>6</v>
      </c>
      <c r="AW9" s="75">
        <f t="shared" si="48"/>
        <v>5</v>
      </c>
      <c r="AX9" s="75">
        <f t="shared" si="49"/>
        <v>1</v>
      </c>
      <c r="AY9" s="76">
        <f t="shared" si="50"/>
        <v>1.7509727626459144</v>
      </c>
      <c r="AZ9" s="79">
        <f t="shared" si="51"/>
        <v>0.83333333333333337</v>
      </c>
      <c r="BA9" s="75">
        <f t="shared" si="52"/>
        <v>5</v>
      </c>
      <c r="BB9" s="75">
        <f t="shared" si="53"/>
        <v>2</v>
      </c>
      <c r="BC9" s="76">
        <f t="shared" si="54"/>
        <v>0.70038910505836571</v>
      </c>
      <c r="BD9" s="75">
        <f t="shared" si="55"/>
        <v>0</v>
      </c>
      <c r="BE9" s="76">
        <f t="shared" si="56"/>
        <v>0</v>
      </c>
      <c r="BF9" s="79">
        <f t="shared" si="57"/>
        <v>0.4</v>
      </c>
      <c r="BG9" s="270">
        <f t="shared" si="58"/>
        <v>3</v>
      </c>
      <c r="BH9" s="269">
        <f t="shared" si="59"/>
        <v>1.0505836575875487</v>
      </c>
      <c r="BI9" s="270">
        <f t="shared" si="60"/>
        <v>0</v>
      </c>
      <c r="BJ9" s="269">
        <f t="shared" si="61"/>
        <v>0</v>
      </c>
      <c r="BK9" s="270">
        <f t="shared" si="62"/>
        <v>0</v>
      </c>
      <c r="BL9" s="269">
        <f t="shared" si="63"/>
        <v>0</v>
      </c>
      <c r="BM9" s="270">
        <f t="shared" si="64"/>
        <v>0</v>
      </c>
      <c r="BN9" s="79">
        <f t="shared" si="65"/>
        <v>0</v>
      </c>
      <c r="BO9" s="76">
        <f t="shared" si="66"/>
        <v>-2.4999999999999991</v>
      </c>
      <c r="BP9" s="75">
        <f t="shared" si="67"/>
        <v>40</v>
      </c>
      <c r="BQ9" s="75">
        <f t="shared" si="68"/>
        <v>8</v>
      </c>
      <c r="BR9" s="158">
        <f t="shared" si="69"/>
        <v>0.2</v>
      </c>
      <c r="BS9" s="75">
        <f t="shared" si="70"/>
        <v>52</v>
      </c>
      <c r="BT9" s="76">
        <f t="shared" si="71"/>
        <v>18.210116731517509</v>
      </c>
      <c r="BU9" s="75">
        <f t="shared" si="72"/>
        <v>16</v>
      </c>
      <c r="BV9" s="76">
        <f t="shared" si="73"/>
        <v>5.6031128404669257</v>
      </c>
      <c r="BW9" s="158">
        <f t="shared" si="74"/>
        <v>0.30769230769230771</v>
      </c>
      <c r="BX9" s="75">
        <f t="shared" si="75"/>
        <v>15</v>
      </c>
      <c r="BY9" s="76">
        <f t="shared" si="76"/>
        <v>5.2529182879377432</v>
      </c>
      <c r="BZ9" s="75">
        <f t="shared" si="77"/>
        <v>11.5</v>
      </c>
      <c r="CA9" s="76">
        <f t="shared" si="78"/>
        <v>4.027237354085603</v>
      </c>
      <c r="CB9" s="306">
        <f t="shared" si="79"/>
        <v>5</v>
      </c>
      <c r="CC9" s="307">
        <f t="shared" si="80"/>
        <v>1.7509727626459144</v>
      </c>
      <c r="CD9" s="306">
        <f t="shared" si="81"/>
        <v>0</v>
      </c>
      <c r="CE9" s="307">
        <f t="shared" si="82"/>
        <v>0</v>
      </c>
      <c r="CF9" s="305">
        <f t="shared" si="83"/>
        <v>0</v>
      </c>
      <c r="CG9" s="306">
        <f t="shared" si="84"/>
        <v>0</v>
      </c>
      <c r="CH9" s="306">
        <f t="shared" si="85"/>
        <v>0</v>
      </c>
      <c r="CI9" s="347">
        <f t="shared" si="86"/>
        <v>0</v>
      </c>
      <c r="CJ9" s="346">
        <f t="shared" si="87"/>
        <v>1E-8</v>
      </c>
      <c r="CK9" s="75">
        <f t="shared" si="88"/>
        <v>17.142222222222223</v>
      </c>
      <c r="CL9" s="76">
        <f t="shared" si="89"/>
        <v>6.0031128404669261</v>
      </c>
      <c r="CM9" s="75">
        <f t="shared" si="90"/>
        <v>9</v>
      </c>
      <c r="CN9" s="76">
        <f t="shared" si="91"/>
        <v>3.1517509727626458</v>
      </c>
      <c r="CO9" s="79">
        <f t="shared" si="92"/>
        <v>0.52501944516463572</v>
      </c>
      <c r="CP9" s="75">
        <f t="shared" si="93"/>
        <v>25</v>
      </c>
      <c r="CQ9" s="76">
        <f t="shared" si="94"/>
        <v>8.7548638132295711</v>
      </c>
      <c r="CR9" s="75">
        <f t="shared" si="95"/>
        <v>22</v>
      </c>
      <c r="CS9" s="76">
        <f t="shared" si="96"/>
        <v>7.7042801556420235</v>
      </c>
      <c r="CT9" s="79">
        <f t="shared" si="97"/>
        <v>0.88</v>
      </c>
      <c r="CU9" s="83">
        <f t="shared" si="98"/>
        <v>240.14222222222222</v>
      </c>
      <c r="CV9" s="83">
        <f t="shared" si="99"/>
        <v>203</v>
      </c>
      <c r="CW9" s="84">
        <f t="shared" si="100"/>
        <v>0.84533239561741191</v>
      </c>
      <c r="CX9" s="364">
        <f t="shared" si="101"/>
        <v>2</v>
      </c>
      <c r="CY9" s="365">
        <f t="shared" si="102"/>
        <v>0.70038910505836571</v>
      </c>
      <c r="CZ9" s="75">
        <f t="shared" si="103"/>
        <v>6</v>
      </c>
      <c r="DA9" s="76">
        <f t="shared" si="104"/>
        <v>2.1011673151750974</v>
      </c>
      <c r="DB9" s="75">
        <f t="shared" si="105"/>
        <v>6</v>
      </c>
      <c r="DC9" s="76">
        <f t="shared" si="106"/>
        <v>2.1011673151750974</v>
      </c>
      <c r="DD9" s="75">
        <f t="shared" si="107"/>
        <v>1.1422222222222222</v>
      </c>
      <c r="DE9" s="76">
        <f t="shared" si="108"/>
        <v>0.4</v>
      </c>
      <c r="DF9" s="75">
        <f t="shared" si="109"/>
        <v>235</v>
      </c>
      <c r="DG9" s="76">
        <f t="shared" si="110"/>
        <v>82.295719844357976</v>
      </c>
      <c r="DH9" s="75">
        <f t="shared" si="111"/>
        <v>7</v>
      </c>
      <c r="DI9" s="6">
        <f t="shared" si="112"/>
        <v>6.3422222222222224</v>
      </c>
      <c r="DJ9" s="5">
        <f t="shared" si="113"/>
        <v>2.2210116731517511</v>
      </c>
      <c r="DK9" s="6">
        <f t="shared" si="114"/>
        <v>5</v>
      </c>
      <c r="DL9" s="5">
        <f t="shared" si="115"/>
        <v>1.7509727626459144</v>
      </c>
      <c r="DM9" s="5">
        <f t="shared" si="116"/>
        <v>70</v>
      </c>
      <c r="DN9" s="21">
        <f t="shared" si="117"/>
        <v>0</v>
      </c>
      <c r="DO9" s="5">
        <f t="shared" si="118"/>
        <v>0.2</v>
      </c>
      <c r="DP9" s="5">
        <f t="shared" si="119"/>
        <v>0.04</v>
      </c>
      <c r="DQ9" s="219">
        <f t="shared" si="120"/>
        <v>15</v>
      </c>
      <c r="DR9" s="220">
        <f t="shared" si="121"/>
        <v>5.2529182879377432</v>
      </c>
      <c r="DS9" s="76">
        <f t="shared" si="122"/>
        <v>51.4</v>
      </c>
      <c r="DT9" s="76">
        <f t="shared" si="123"/>
        <v>51.4</v>
      </c>
      <c r="DU9" s="76">
        <f t="shared" si="124"/>
        <v>69.338521400778205</v>
      </c>
      <c r="DV9" s="76">
        <f t="shared" si="125"/>
        <v>60.233463035019454</v>
      </c>
      <c r="DW9" s="92">
        <f t="shared" si="126"/>
        <v>0.86868686868686873</v>
      </c>
      <c r="DX9" s="185">
        <f t="shared" si="127"/>
        <v>35.4</v>
      </c>
      <c r="DY9" s="204">
        <f t="shared" si="128"/>
        <v>12.396887159533073</v>
      </c>
      <c r="DZ9" s="206">
        <f t="shared" si="129"/>
        <v>8.264591439688715</v>
      </c>
      <c r="EA9" s="205">
        <f t="shared" si="130"/>
        <v>25.128888888888891</v>
      </c>
      <c r="EB9" s="76">
        <f t="shared" si="131"/>
        <v>8.8000000000000007</v>
      </c>
      <c r="EC9" s="56">
        <f t="shared" si="132"/>
        <v>34</v>
      </c>
      <c r="ED9" s="57">
        <f t="shared" si="133"/>
        <v>11.906614785992218</v>
      </c>
      <c r="EE9" s="76">
        <f t="shared" si="134"/>
        <v>10.199999999999999</v>
      </c>
      <c r="EF9" s="57">
        <f t="shared" si="135"/>
        <v>19.046555555555557</v>
      </c>
      <c r="EG9" s="62">
        <f t="shared" si="136"/>
        <v>6.67</v>
      </c>
      <c r="EH9" s="296"/>
      <c r="EI9" s="292" t="s">
        <v>13</v>
      </c>
      <c r="EJ9" s="292" t="s">
        <v>827</v>
      </c>
      <c r="EK9" s="292" t="s">
        <v>828</v>
      </c>
      <c r="EL9" s="292">
        <v>26</v>
      </c>
      <c r="EM9" s="292" t="s">
        <v>801</v>
      </c>
      <c r="EN9" s="292" t="s">
        <v>829</v>
      </c>
      <c r="EO9" s="292" t="s">
        <v>790</v>
      </c>
      <c r="EP9" s="393">
        <v>0</v>
      </c>
      <c r="EQ9" s="292" t="s">
        <v>830</v>
      </c>
      <c r="ER9" s="293">
        <v>46356</v>
      </c>
      <c r="ES9" s="292">
        <v>257</v>
      </c>
      <c r="ET9" s="292">
        <v>3</v>
      </c>
      <c r="EU9" s="292">
        <v>0</v>
      </c>
      <c r="EV9" s="292">
        <v>0</v>
      </c>
      <c r="EW9" s="292">
        <v>0</v>
      </c>
      <c r="EX9" s="292">
        <v>0</v>
      </c>
      <c r="EY9" s="292">
        <v>0</v>
      </c>
      <c r="EZ9" s="292">
        <v>7.7</v>
      </c>
      <c r="FA9" s="292">
        <v>10.199999999999999</v>
      </c>
      <c r="FB9" s="292" t="s">
        <v>806</v>
      </c>
      <c r="FC9" s="292" t="s">
        <v>831</v>
      </c>
      <c r="FD9" s="292">
        <v>3</v>
      </c>
      <c r="FE9" s="292">
        <v>1</v>
      </c>
      <c r="FF9" s="292">
        <v>198</v>
      </c>
      <c r="FG9" s="292">
        <v>172</v>
      </c>
      <c r="FH9" s="292">
        <v>5</v>
      </c>
      <c r="FI9" s="292">
        <v>15</v>
      </c>
      <c r="FJ9" s="292">
        <v>2</v>
      </c>
      <c r="FK9" s="292">
        <v>1</v>
      </c>
      <c r="FL9" s="292">
        <v>0</v>
      </c>
      <c r="FM9" s="292">
        <v>6</v>
      </c>
      <c r="FN9" s="292">
        <v>5</v>
      </c>
      <c r="FO9" s="292">
        <v>40</v>
      </c>
      <c r="FP9" s="292">
        <v>8</v>
      </c>
      <c r="FQ9" s="292">
        <v>2</v>
      </c>
      <c r="FR9" s="292">
        <v>2</v>
      </c>
      <c r="FS9" s="292">
        <v>10</v>
      </c>
      <c r="FT9" s="292">
        <v>2</v>
      </c>
      <c r="FU9" s="292">
        <v>1</v>
      </c>
      <c r="FV9" s="292">
        <v>7</v>
      </c>
      <c r="FW9" s="292">
        <v>1</v>
      </c>
      <c r="FX9" s="292">
        <v>0</v>
      </c>
      <c r="FY9" s="292">
        <v>0.4</v>
      </c>
      <c r="FZ9" s="292">
        <v>0</v>
      </c>
      <c r="GA9" s="292">
        <v>1</v>
      </c>
      <c r="GB9" s="292">
        <v>0</v>
      </c>
      <c r="GC9" s="292">
        <v>0</v>
      </c>
      <c r="GD9" s="292">
        <v>4</v>
      </c>
      <c r="GE9" s="292">
        <v>1</v>
      </c>
      <c r="GF9" s="292">
        <v>0</v>
      </c>
      <c r="GG9" s="292">
        <v>0</v>
      </c>
      <c r="GH9" s="292">
        <v>0</v>
      </c>
      <c r="GI9" s="292">
        <v>8.8000000000000007</v>
      </c>
      <c r="GJ9" s="292">
        <v>0</v>
      </c>
      <c r="GK9" s="292">
        <v>0</v>
      </c>
      <c r="GL9" s="292" t="s">
        <v>832</v>
      </c>
      <c r="GM9" s="297">
        <v>6.67</v>
      </c>
    </row>
    <row r="10" spans="1:195" ht="24.95" customHeight="1" thickBot="1" x14ac:dyDescent="0.3">
      <c r="A10" s="29" t="str">
        <f t="shared" si="0"/>
        <v>9º</v>
      </c>
      <c r="B10" s="69" t="str">
        <f t="shared" si="1"/>
        <v>Matheus Rocha</v>
      </c>
      <c r="C10" s="86" t="str">
        <f t="shared" si="2"/>
        <v>BRA</v>
      </c>
      <c r="D10" s="376" t="str">
        <f t="shared" si="3"/>
        <v>D/DA (D)</v>
      </c>
      <c r="E10" s="253" t="str">
        <f t="shared" si="4"/>
        <v>São José (SP)</v>
      </c>
      <c r="F10" s="36">
        <f t="shared" si="5"/>
        <v>27</v>
      </c>
      <c r="G10" s="370">
        <f t="shared" si="6"/>
        <v>46155</v>
      </c>
      <c r="H10" s="327" t="str">
        <f t="shared" si="7"/>
        <v>€4,4m p/m</v>
      </c>
      <c r="I10" s="96">
        <f t="shared" si="8"/>
        <v>2.8022222222222224</v>
      </c>
      <c r="J10" s="194">
        <f t="shared" si="9"/>
        <v>3</v>
      </c>
      <c r="K10" s="194">
        <f t="shared" si="10"/>
        <v>3</v>
      </c>
      <c r="L10" s="194">
        <f t="shared" si="11"/>
        <v>90</v>
      </c>
      <c r="M10" s="195">
        <f t="shared" si="12"/>
        <v>1</v>
      </c>
      <c r="N10" s="6">
        <f t="shared" si="13"/>
        <v>0</v>
      </c>
      <c r="O10" s="24">
        <f t="shared" si="14"/>
        <v>5400</v>
      </c>
      <c r="P10" s="21">
        <f t="shared" si="15"/>
        <v>0</v>
      </c>
      <c r="Q10" s="58">
        <f t="shared" si="16"/>
        <v>0</v>
      </c>
      <c r="R10" s="58">
        <f t="shared" si="17"/>
        <v>0</v>
      </c>
      <c r="S10" s="58">
        <f t="shared" si="18"/>
        <v>0</v>
      </c>
      <c r="T10" s="76">
        <f t="shared" si="19"/>
        <v>0</v>
      </c>
      <c r="U10" s="76">
        <f t="shared" si="20"/>
        <v>0</v>
      </c>
      <c r="V10" s="76">
        <f t="shared" si="21"/>
        <v>0</v>
      </c>
      <c r="W10" s="76">
        <f t="shared" si="22"/>
        <v>0.02</v>
      </c>
      <c r="X10" s="76">
        <f t="shared" si="23"/>
        <v>0.02</v>
      </c>
      <c r="Y10" s="76">
        <f t="shared" si="24"/>
        <v>6.6666666666666671E-3</v>
      </c>
      <c r="Z10" s="76">
        <f t="shared" si="25"/>
        <v>0.03</v>
      </c>
      <c r="AA10" s="76">
        <f t="shared" si="26"/>
        <v>0.01</v>
      </c>
      <c r="AB10" s="76">
        <f t="shared" si="27"/>
        <v>0.05</v>
      </c>
      <c r="AC10" s="76">
        <f t="shared" si="28"/>
        <v>1.6666666666666666E-2</v>
      </c>
      <c r="AD10" s="6">
        <f t="shared" si="29"/>
        <v>1</v>
      </c>
      <c r="AE10" s="5">
        <f t="shared" si="30"/>
        <v>0.33333333333333331</v>
      </c>
      <c r="AF10" s="6">
        <f t="shared" si="31"/>
        <v>1</v>
      </c>
      <c r="AG10" s="5">
        <f t="shared" si="32"/>
        <v>0.33333333333333331</v>
      </c>
      <c r="AH10" s="6">
        <f t="shared" si="33"/>
        <v>0</v>
      </c>
      <c r="AI10" s="5">
        <f t="shared" si="34"/>
        <v>0</v>
      </c>
      <c r="AJ10" s="21">
        <f t="shared" si="35"/>
        <v>0</v>
      </c>
      <c r="AK10" s="76">
        <f t="shared" si="36"/>
        <v>50</v>
      </c>
      <c r="AL10" s="76">
        <f t="shared" si="37"/>
        <v>50</v>
      </c>
      <c r="AM10" s="20">
        <f t="shared" si="38"/>
        <v>0</v>
      </c>
      <c r="AN10" s="76">
        <f t="shared" si="39"/>
        <v>270</v>
      </c>
      <c r="AO10" s="76">
        <f t="shared" si="40"/>
        <v>700</v>
      </c>
      <c r="AP10" s="76">
        <f t="shared" si="41"/>
        <v>270</v>
      </c>
      <c r="AQ10" s="76">
        <f t="shared" si="42"/>
        <v>270</v>
      </c>
      <c r="AR10" s="5">
        <f t="shared" si="43"/>
        <v>-0.02</v>
      </c>
      <c r="AS10" s="5">
        <f t="shared" si="44"/>
        <v>-0.02</v>
      </c>
      <c r="AT10" s="75">
        <f t="shared" si="45"/>
        <v>0</v>
      </c>
      <c r="AU10" s="76">
        <f t="shared" si="46"/>
        <v>0</v>
      </c>
      <c r="AV10" s="75">
        <f t="shared" si="47"/>
        <v>11</v>
      </c>
      <c r="AW10" s="75">
        <f t="shared" si="48"/>
        <v>5</v>
      </c>
      <c r="AX10" s="75">
        <f t="shared" si="49"/>
        <v>6</v>
      </c>
      <c r="AY10" s="76">
        <f t="shared" si="50"/>
        <v>1.6666666666666667</v>
      </c>
      <c r="AZ10" s="79">
        <f t="shared" si="51"/>
        <v>0.45454545454545453</v>
      </c>
      <c r="BA10" s="75">
        <f t="shared" si="52"/>
        <v>7</v>
      </c>
      <c r="BB10" s="75">
        <f t="shared" si="53"/>
        <v>3</v>
      </c>
      <c r="BC10" s="76">
        <f t="shared" si="54"/>
        <v>1</v>
      </c>
      <c r="BD10" s="75">
        <f t="shared" si="55"/>
        <v>2</v>
      </c>
      <c r="BE10" s="76">
        <f t="shared" si="56"/>
        <v>0.66666666666666663</v>
      </c>
      <c r="BF10" s="79">
        <f t="shared" si="57"/>
        <v>0.42857142857142855</v>
      </c>
      <c r="BG10" s="270">
        <f t="shared" si="58"/>
        <v>2</v>
      </c>
      <c r="BH10" s="269">
        <f t="shared" si="59"/>
        <v>0.66666666666666663</v>
      </c>
      <c r="BI10" s="270">
        <f t="shared" si="60"/>
        <v>0</v>
      </c>
      <c r="BJ10" s="269">
        <f t="shared" si="61"/>
        <v>0</v>
      </c>
      <c r="BK10" s="270">
        <f t="shared" si="62"/>
        <v>0</v>
      </c>
      <c r="BL10" s="269">
        <f t="shared" si="63"/>
        <v>0</v>
      </c>
      <c r="BM10" s="270">
        <f t="shared" si="64"/>
        <v>0</v>
      </c>
      <c r="BN10" s="79">
        <f t="shared" si="65"/>
        <v>0</v>
      </c>
      <c r="BO10" s="76">
        <f t="shared" si="66"/>
        <v>2.0000000000000009</v>
      </c>
      <c r="BP10" s="75">
        <f t="shared" si="67"/>
        <v>30</v>
      </c>
      <c r="BQ10" s="75">
        <f t="shared" si="68"/>
        <v>4</v>
      </c>
      <c r="BR10" s="158">
        <f t="shared" si="69"/>
        <v>0.13333333333333333</v>
      </c>
      <c r="BS10" s="75">
        <f t="shared" si="70"/>
        <v>48</v>
      </c>
      <c r="BT10" s="76">
        <f t="shared" si="71"/>
        <v>16</v>
      </c>
      <c r="BU10" s="75">
        <f t="shared" si="72"/>
        <v>12</v>
      </c>
      <c r="BV10" s="76">
        <f t="shared" si="73"/>
        <v>4</v>
      </c>
      <c r="BW10" s="158">
        <f t="shared" si="74"/>
        <v>0.25</v>
      </c>
      <c r="BX10" s="75">
        <f t="shared" si="75"/>
        <v>15</v>
      </c>
      <c r="BY10" s="76">
        <f t="shared" si="76"/>
        <v>5</v>
      </c>
      <c r="BZ10" s="75">
        <f t="shared" si="77"/>
        <v>7</v>
      </c>
      <c r="CA10" s="76">
        <f t="shared" si="78"/>
        <v>2.3333333333333335</v>
      </c>
      <c r="CB10" s="306">
        <f t="shared" si="79"/>
        <v>0</v>
      </c>
      <c r="CC10" s="307">
        <f t="shared" si="80"/>
        <v>0</v>
      </c>
      <c r="CD10" s="306">
        <f t="shared" si="81"/>
        <v>0</v>
      </c>
      <c r="CE10" s="307">
        <f t="shared" si="82"/>
        <v>0</v>
      </c>
      <c r="CF10" s="305">
        <f t="shared" si="83"/>
        <v>0</v>
      </c>
      <c r="CG10" s="306">
        <f t="shared" si="84"/>
        <v>0</v>
      </c>
      <c r="CH10" s="306">
        <f t="shared" si="85"/>
        <v>0</v>
      </c>
      <c r="CI10" s="347">
        <f t="shared" si="86"/>
        <v>0</v>
      </c>
      <c r="CJ10" s="346">
        <f t="shared" si="87"/>
        <v>1E-8</v>
      </c>
      <c r="CK10" s="75">
        <f t="shared" si="88"/>
        <v>6.9</v>
      </c>
      <c r="CL10" s="76">
        <f t="shared" si="89"/>
        <v>2.3000000000000003</v>
      </c>
      <c r="CM10" s="75">
        <f t="shared" si="90"/>
        <v>3</v>
      </c>
      <c r="CN10" s="76">
        <f t="shared" si="91"/>
        <v>1</v>
      </c>
      <c r="CO10" s="79">
        <f t="shared" si="92"/>
        <v>0.43478260869565216</v>
      </c>
      <c r="CP10" s="75">
        <f t="shared" si="93"/>
        <v>33</v>
      </c>
      <c r="CQ10" s="76">
        <f t="shared" si="94"/>
        <v>11</v>
      </c>
      <c r="CR10" s="75">
        <f t="shared" si="95"/>
        <v>23</v>
      </c>
      <c r="CS10" s="76">
        <f t="shared" si="96"/>
        <v>7.666666666666667</v>
      </c>
      <c r="CT10" s="79">
        <f t="shared" si="97"/>
        <v>0.69696969696969702</v>
      </c>
      <c r="CU10" s="83">
        <f t="shared" si="98"/>
        <v>194.9</v>
      </c>
      <c r="CV10" s="83">
        <f t="shared" si="99"/>
        <v>161</v>
      </c>
      <c r="CW10" s="84">
        <f t="shared" si="100"/>
        <v>0.82606464853771167</v>
      </c>
      <c r="CX10" s="364">
        <f t="shared" si="101"/>
        <v>1</v>
      </c>
      <c r="CY10" s="365">
        <f t="shared" si="102"/>
        <v>0.33333333333333331</v>
      </c>
      <c r="CZ10" s="75">
        <f t="shared" si="103"/>
        <v>2</v>
      </c>
      <c r="DA10" s="76">
        <f t="shared" si="104"/>
        <v>0.66666666666666663</v>
      </c>
      <c r="DB10" s="75">
        <f t="shared" si="105"/>
        <v>2</v>
      </c>
      <c r="DC10" s="76">
        <f t="shared" si="106"/>
        <v>0.66666666666666663</v>
      </c>
      <c r="DD10" s="75">
        <f t="shared" si="107"/>
        <v>0.89999999999999991</v>
      </c>
      <c r="DE10" s="76">
        <f t="shared" si="108"/>
        <v>0.3</v>
      </c>
      <c r="DF10" s="75">
        <f t="shared" si="109"/>
        <v>192</v>
      </c>
      <c r="DG10" s="76">
        <f t="shared" si="110"/>
        <v>64</v>
      </c>
      <c r="DH10" s="75">
        <f t="shared" si="111"/>
        <v>2</v>
      </c>
      <c r="DI10" s="6">
        <f t="shared" si="112"/>
        <v>1.93</v>
      </c>
      <c r="DJ10" s="5">
        <f t="shared" si="113"/>
        <v>0.64333333333333331</v>
      </c>
      <c r="DK10" s="6">
        <f t="shared" si="114"/>
        <v>1</v>
      </c>
      <c r="DL10" s="5">
        <f t="shared" si="115"/>
        <v>0.33333333333333331</v>
      </c>
      <c r="DM10" s="5">
        <f t="shared" si="116"/>
        <v>70</v>
      </c>
      <c r="DN10" s="21">
        <f t="shared" si="117"/>
        <v>0</v>
      </c>
      <c r="DO10" s="5">
        <f t="shared" si="118"/>
        <v>0.03</v>
      </c>
      <c r="DP10" s="5">
        <f t="shared" si="119"/>
        <v>0.03</v>
      </c>
      <c r="DQ10" s="219">
        <f t="shared" si="120"/>
        <v>6</v>
      </c>
      <c r="DR10" s="220">
        <f t="shared" si="121"/>
        <v>2</v>
      </c>
      <c r="DS10" s="76">
        <f t="shared" si="122"/>
        <v>270</v>
      </c>
      <c r="DT10" s="76">
        <f t="shared" si="123"/>
        <v>270</v>
      </c>
      <c r="DU10" s="76">
        <f t="shared" si="124"/>
        <v>51.666666666666664</v>
      </c>
      <c r="DV10" s="76">
        <f t="shared" si="125"/>
        <v>45</v>
      </c>
      <c r="DW10" s="92">
        <f t="shared" si="126"/>
        <v>0.87096774193548387</v>
      </c>
      <c r="DX10" s="185">
        <f t="shared" si="127"/>
        <v>36.299999999999997</v>
      </c>
      <c r="DY10" s="204">
        <f t="shared" si="128"/>
        <v>12.1</v>
      </c>
      <c r="DZ10" s="206">
        <f t="shared" si="129"/>
        <v>8.0666666666666664</v>
      </c>
      <c r="EA10" s="205">
        <f t="shared" si="130"/>
        <v>23.1</v>
      </c>
      <c r="EB10" s="76">
        <f t="shared" si="131"/>
        <v>7.7</v>
      </c>
      <c r="EC10" s="56">
        <f t="shared" si="132"/>
        <v>29</v>
      </c>
      <c r="ED10" s="57">
        <f t="shared" si="133"/>
        <v>9.6666666666666661</v>
      </c>
      <c r="EE10" s="76">
        <f t="shared" si="134"/>
        <v>7.3</v>
      </c>
      <c r="EF10" s="57">
        <f t="shared" si="135"/>
        <v>19.799999999999997</v>
      </c>
      <c r="EG10" s="62">
        <f t="shared" si="136"/>
        <v>6.6</v>
      </c>
      <c r="EH10" s="296"/>
      <c r="EI10" s="292" t="s">
        <v>13</v>
      </c>
      <c r="EJ10" s="292" t="s">
        <v>799</v>
      </c>
      <c r="EK10" s="292" t="s">
        <v>800</v>
      </c>
      <c r="EL10" s="292">
        <v>27</v>
      </c>
      <c r="EM10" s="292" t="s">
        <v>801</v>
      </c>
      <c r="EN10" s="292" t="s">
        <v>802</v>
      </c>
      <c r="EO10" s="292" t="s">
        <v>602</v>
      </c>
      <c r="EP10" s="292" t="s">
        <v>803</v>
      </c>
      <c r="EQ10" s="292" t="s">
        <v>804</v>
      </c>
      <c r="ER10" s="293">
        <v>46155</v>
      </c>
      <c r="ES10" s="292">
        <v>270</v>
      </c>
      <c r="ET10" s="292">
        <v>3</v>
      </c>
      <c r="EU10" s="292">
        <v>0</v>
      </c>
      <c r="EV10" s="292">
        <v>0</v>
      </c>
      <c r="EW10" s="292">
        <v>0</v>
      </c>
      <c r="EX10" s="292">
        <v>3</v>
      </c>
      <c r="EY10" s="292">
        <v>0</v>
      </c>
      <c r="EZ10" s="292">
        <v>9.3000000000000007</v>
      </c>
      <c r="FA10" s="292">
        <v>7.3</v>
      </c>
      <c r="FB10" s="292" t="s">
        <v>805</v>
      </c>
      <c r="FC10" s="292" t="s">
        <v>806</v>
      </c>
      <c r="FD10" s="292">
        <v>2</v>
      </c>
      <c r="FE10" s="292">
        <v>0</v>
      </c>
      <c r="FF10" s="292">
        <v>155</v>
      </c>
      <c r="FG10" s="292">
        <v>135</v>
      </c>
      <c r="FH10" s="292">
        <v>1</v>
      </c>
      <c r="FI10" s="292">
        <v>21</v>
      </c>
      <c r="FJ10" s="292">
        <v>1</v>
      </c>
      <c r="FK10" s="292">
        <v>1</v>
      </c>
      <c r="FL10" s="292">
        <v>0</v>
      </c>
      <c r="FM10" s="292">
        <v>11</v>
      </c>
      <c r="FN10" s="292">
        <v>5</v>
      </c>
      <c r="FO10" s="292">
        <v>30</v>
      </c>
      <c r="FP10" s="292">
        <v>4</v>
      </c>
      <c r="FQ10" s="292">
        <v>5</v>
      </c>
      <c r="FR10" s="292">
        <v>3</v>
      </c>
      <c r="FS10" s="292">
        <v>14</v>
      </c>
      <c r="FT10" s="292">
        <v>3</v>
      </c>
      <c r="FU10" s="292">
        <v>1</v>
      </c>
      <c r="FV10" s="292">
        <v>3</v>
      </c>
      <c r="FW10" s="292">
        <v>1</v>
      </c>
      <c r="FX10" s="292">
        <v>0</v>
      </c>
      <c r="FY10" s="292">
        <v>0.3</v>
      </c>
      <c r="FZ10" s="292">
        <v>0</v>
      </c>
      <c r="GA10" s="292">
        <v>0</v>
      </c>
      <c r="GB10" s="292">
        <v>0</v>
      </c>
      <c r="GC10" s="292">
        <v>0</v>
      </c>
      <c r="GD10" s="292">
        <v>1</v>
      </c>
      <c r="GE10" s="292">
        <v>0</v>
      </c>
      <c r="GF10" s="292">
        <v>0</v>
      </c>
      <c r="GG10" s="292">
        <v>0</v>
      </c>
      <c r="GH10" s="292">
        <v>0</v>
      </c>
      <c r="GI10" s="292">
        <v>7.7</v>
      </c>
      <c r="GJ10" s="292">
        <v>0</v>
      </c>
      <c r="GK10" s="292">
        <v>0</v>
      </c>
      <c r="GL10" s="292" t="s">
        <v>807</v>
      </c>
      <c r="GM10" s="297">
        <v>6.6</v>
      </c>
    </row>
    <row r="11" spans="1:195" ht="24.95" customHeight="1" thickBot="1" x14ac:dyDescent="0.3">
      <c r="A11" s="29" t="str">
        <f t="shared" si="0"/>
        <v>10º</v>
      </c>
      <c r="B11" s="69" t="str">
        <f t="shared" si="1"/>
        <v>Thomaz Carvalho</v>
      </c>
      <c r="C11" s="86" t="str">
        <f t="shared" si="2"/>
        <v>BRA</v>
      </c>
      <c r="D11" s="376" t="str">
        <f t="shared" si="3"/>
        <v>MD, M (C)</v>
      </c>
      <c r="E11" s="253" t="str">
        <f t="shared" si="4"/>
        <v>São José (SP)</v>
      </c>
      <c r="F11" s="36">
        <f t="shared" si="5"/>
        <v>24</v>
      </c>
      <c r="G11" s="370">
        <f t="shared" si="6"/>
        <v>46155</v>
      </c>
      <c r="H11" s="327" t="str">
        <f t="shared" si="7"/>
        <v>€2,3m p/m</v>
      </c>
      <c r="I11" s="96">
        <f t="shared" si="8"/>
        <v>2.8022222222222224</v>
      </c>
      <c r="J11" s="194">
        <f t="shared" si="9"/>
        <v>2.5</v>
      </c>
      <c r="K11" s="194">
        <f t="shared" si="10"/>
        <v>3</v>
      </c>
      <c r="L11" s="194">
        <f t="shared" si="11"/>
        <v>75</v>
      </c>
      <c r="M11" s="195">
        <f t="shared" si="12"/>
        <v>1</v>
      </c>
      <c r="N11" s="6">
        <f t="shared" si="13"/>
        <v>0</v>
      </c>
      <c r="O11" s="24">
        <f t="shared" si="14"/>
        <v>5400</v>
      </c>
      <c r="P11" s="21">
        <f t="shared" si="15"/>
        <v>0</v>
      </c>
      <c r="Q11" s="58">
        <f t="shared" si="16"/>
        <v>0</v>
      </c>
      <c r="R11" s="58">
        <f t="shared" si="17"/>
        <v>0</v>
      </c>
      <c r="S11" s="58">
        <f t="shared" si="18"/>
        <v>0</v>
      </c>
      <c r="T11" s="76">
        <f t="shared" si="19"/>
        <v>0</v>
      </c>
      <c r="U11" s="76">
        <f t="shared" si="20"/>
        <v>0</v>
      </c>
      <c r="V11" s="76">
        <f t="shared" si="21"/>
        <v>0</v>
      </c>
      <c r="W11" s="76">
        <f t="shared" si="22"/>
        <v>0</v>
      </c>
      <c r="X11" s="76">
        <f t="shared" si="23"/>
        <v>0</v>
      </c>
      <c r="Y11" s="76">
        <f t="shared" si="24"/>
        <v>0</v>
      </c>
      <c r="Z11" s="76">
        <f t="shared" si="25"/>
        <v>0.01</v>
      </c>
      <c r="AA11" s="76">
        <f t="shared" si="26"/>
        <v>4.0000000000000001E-3</v>
      </c>
      <c r="AB11" s="76">
        <f t="shared" si="27"/>
        <v>0.01</v>
      </c>
      <c r="AC11" s="76">
        <f t="shared" si="28"/>
        <v>4.0000000000000001E-3</v>
      </c>
      <c r="AD11" s="6">
        <f t="shared" si="29"/>
        <v>0</v>
      </c>
      <c r="AE11" s="5">
        <f t="shared" si="30"/>
        <v>0</v>
      </c>
      <c r="AF11" s="6">
        <f t="shared" si="31"/>
        <v>0</v>
      </c>
      <c r="AG11" s="5">
        <f t="shared" si="32"/>
        <v>0</v>
      </c>
      <c r="AH11" s="6">
        <f t="shared" si="33"/>
        <v>0</v>
      </c>
      <c r="AI11" s="5">
        <f t="shared" si="34"/>
        <v>0</v>
      </c>
      <c r="AJ11" s="21">
        <f t="shared" si="35"/>
        <v>0</v>
      </c>
      <c r="AK11" s="76">
        <f t="shared" si="36"/>
        <v>50</v>
      </c>
      <c r="AL11" s="76">
        <f t="shared" si="37"/>
        <v>50</v>
      </c>
      <c r="AM11" s="20">
        <f t="shared" si="38"/>
        <v>0</v>
      </c>
      <c r="AN11" s="76">
        <f t="shared" si="39"/>
        <v>700</v>
      </c>
      <c r="AO11" s="76">
        <f t="shared" si="40"/>
        <v>700</v>
      </c>
      <c r="AP11" s="76">
        <f t="shared" si="41"/>
        <v>225</v>
      </c>
      <c r="AQ11" s="76">
        <f t="shared" si="42"/>
        <v>225</v>
      </c>
      <c r="AR11" s="5">
        <f t="shared" si="43"/>
        <v>0</v>
      </c>
      <c r="AS11" s="5">
        <f t="shared" si="44"/>
        <v>0</v>
      </c>
      <c r="AT11" s="75">
        <f t="shared" si="45"/>
        <v>0</v>
      </c>
      <c r="AU11" s="76">
        <f t="shared" si="46"/>
        <v>0</v>
      </c>
      <c r="AV11" s="75">
        <f t="shared" si="47"/>
        <v>3</v>
      </c>
      <c r="AW11" s="75">
        <f t="shared" si="48"/>
        <v>1</v>
      </c>
      <c r="AX11" s="75">
        <f t="shared" si="49"/>
        <v>2</v>
      </c>
      <c r="AY11" s="76">
        <f t="shared" si="50"/>
        <v>0.4</v>
      </c>
      <c r="AZ11" s="79">
        <f t="shared" si="51"/>
        <v>0.33333333333333331</v>
      </c>
      <c r="BA11" s="75">
        <f t="shared" si="52"/>
        <v>6</v>
      </c>
      <c r="BB11" s="75">
        <f t="shared" si="53"/>
        <v>3</v>
      </c>
      <c r="BC11" s="76">
        <f t="shared" si="54"/>
        <v>1.2</v>
      </c>
      <c r="BD11" s="75">
        <f t="shared" si="55"/>
        <v>2</v>
      </c>
      <c r="BE11" s="76">
        <f t="shared" si="56"/>
        <v>0.8</v>
      </c>
      <c r="BF11" s="79">
        <f t="shared" si="57"/>
        <v>0.5</v>
      </c>
      <c r="BG11" s="270">
        <f t="shared" si="58"/>
        <v>1</v>
      </c>
      <c r="BH11" s="269">
        <f t="shared" si="59"/>
        <v>0.4</v>
      </c>
      <c r="BI11" s="270">
        <f t="shared" si="60"/>
        <v>0</v>
      </c>
      <c r="BJ11" s="269">
        <f t="shared" si="61"/>
        <v>0</v>
      </c>
      <c r="BK11" s="270">
        <f t="shared" si="62"/>
        <v>0</v>
      </c>
      <c r="BL11" s="269">
        <f t="shared" si="63"/>
        <v>0</v>
      </c>
      <c r="BM11" s="270">
        <f t="shared" si="64"/>
        <v>0</v>
      </c>
      <c r="BN11" s="79">
        <f t="shared" si="65"/>
        <v>0</v>
      </c>
      <c r="BO11" s="76">
        <f t="shared" si="66"/>
        <v>1.6000000000000005</v>
      </c>
      <c r="BP11" s="75">
        <f t="shared" si="67"/>
        <v>9</v>
      </c>
      <c r="BQ11" s="75">
        <f t="shared" si="68"/>
        <v>1</v>
      </c>
      <c r="BR11" s="158">
        <f t="shared" si="69"/>
        <v>0.1111111111111111</v>
      </c>
      <c r="BS11" s="75">
        <f t="shared" si="70"/>
        <v>19</v>
      </c>
      <c r="BT11" s="76">
        <f t="shared" si="71"/>
        <v>7.6</v>
      </c>
      <c r="BU11" s="75">
        <f t="shared" si="72"/>
        <v>6</v>
      </c>
      <c r="BV11" s="76">
        <f t="shared" si="73"/>
        <v>2.4</v>
      </c>
      <c r="BW11" s="158">
        <f t="shared" si="74"/>
        <v>0.31578947368421051</v>
      </c>
      <c r="BX11" s="75">
        <f t="shared" si="75"/>
        <v>9</v>
      </c>
      <c r="BY11" s="76">
        <f t="shared" si="76"/>
        <v>3.6</v>
      </c>
      <c r="BZ11" s="75">
        <f t="shared" si="77"/>
        <v>5.5</v>
      </c>
      <c r="CA11" s="76">
        <f t="shared" si="78"/>
        <v>2.2000000000000002</v>
      </c>
      <c r="CB11" s="306">
        <f t="shared" si="79"/>
        <v>3</v>
      </c>
      <c r="CC11" s="307">
        <f t="shared" si="80"/>
        <v>1.2</v>
      </c>
      <c r="CD11" s="306">
        <f t="shared" si="81"/>
        <v>1</v>
      </c>
      <c r="CE11" s="307">
        <f t="shared" si="82"/>
        <v>0.4</v>
      </c>
      <c r="CF11" s="305">
        <f t="shared" si="83"/>
        <v>0.33333333333333331</v>
      </c>
      <c r="CG11" s="306">
        <f t="shared" si="84"/>
        <v>0</v>
      </c>
      <c r="CH11" s="306">
        <f t="shared" si="85"/>
        <v>0</v>
      </c>
      <c r="CI11" s="347">
        <f t="shared" si="86"/>
        <v>0</v>
      </c>
      <c r="CJ11" s="346">
        <f t="shared" si="87"/>
        <v>1E-8</v>
      </c>
      <c r="CK11" s="75">
        <f t="shared" si="88"/>
        <v>5</v>
      </c>
      <c r="CL11" s="76">
        <f t="shared" si="89"/>
        <v>2</v>
      </c>
      <c r="CM11" s="75">
        <f t="shared" si="90"/>
        <v>3</v>
      </c>
      <c r="CN11" s="76">
        <f t="shared" si="91"/>
        <v>1.2</v>
      </c>
      <c r="CO11" s="79">
        <f t="shared" si="92"/>
        <v>0.6</v>
      </c>
      <c r="CP11" s="75">
        <f t="shared" si="93"/>
        <v>17</v>
      </c>
      <c r="CQ11" s="76">
        <f t="shared" si="94"/>
        <v>6.8</v>
      </c>
      <c r="CR11" s="75">
        <f t="shared" si="95"/>
        <v>13</v>
      </c>
      <c r="CS11" s="76">
        <f t="shared" si="96"/>
        <v>5.2</v>
      </c>
      <c r="CT11" s="79">
        <f t="shared" si="97"/>
        <v>0.76470588235294112</v>
      </c>
      <c r="CU11" s="83">
        <f t="shared" si="98"/>
        <v>167</v>
      </c>
      <c r="CV11" s="83">
        <f t="shared" si="99"/>
        <v>149</v>
      </c>
      <c r="CW11" s="84">
        <f t="shared" si="100"/>
        <v>0.89221556886227549</v>
      </c>
      <c r="CX11" s="364">
        <f t="shared" si="101"/>
        <v>0</v>
      </c>
      <c r="CY11" s="365">
        <f t="shared" si="102"/>
        <v>0</v>
      </c>
      <c r="CZ11" s="75">
        <f t="shared" si="103"/>
        <v>3</v>
      </c>
      <c r="DA11" s="76">
        <f t="shared" si="104"/>
        <v>1.2</v>
      </c>
      <c r="DB11" s="75">
        <f t="shared" si="105"/>
        <v>2</v>
      </c>
      <c r="DC11" s="76">
        <f t="shared" si="106"/>
        <v>0.8</v>
      </c>
      <c r="DD11" s="75">
        <f t="shared" si="107"/>
        <v>0</v>
      </c>
      <c r="DE11" s="76">
        <f t="shared" si="108"/>
        <v>0</v>
      </c>
      <c r="DF11" s="75">
        <f t="shared" si="109"/>
        <v>160</v>
      </c>
      <c r="DG11" s="76">
        <f t="shared" si="110"/>
        <v>64</v>
      </c>
      <c r="DH11" s="75">
        <f t="shared" si="111"/>
        <v>2</v>
      </c>
      <c r="DI11" s="6">
        <f t="shared" si="112"/>
        <v>2.0099999999999998</v>
      </c>
      <c r="DJ11" s="5">
        <f t="shared" si="113"/>
        <v>0.80399999999999994</v>
      </c>
      <c r="DK11" s="6">
        <f t="shared" si="114"/>
        <v>2</v>
      </c>
      <c r="DL11" s="5">
        <f t="shared" si="115"/>
        <v>0.8</v>
      </c>
      <c r="DM11" s="5">
        <f t="shared" si="116"/>
        <v>70</v>
      </c>
      <c r="DN11" s="21">
        <f t="shared" si="117"/>
        <v>0</v>
      </c>
      <c r="DO11" s="5">
        <f t="shared" si="118"/>
        <v>0.01</v>
      </c>
      <c r="DP11" s="5">
        <f t="shared" si="119"/>
        <v>5.0000000000000001E-3</v>
      </c>
      <c r="DQ11" s="219">
        <f t="shared" si="120"/>
        <v>5</v>
      </c>
      <c r="DR11" s="220">
        <f t="shared" si="121"/>
        <v>2</v>
      </c>
      <c r="DS11" s="76">
        <f t="shared" si="122"/>
        <v>112.5</v>
      </c>
      <c r="DT11" s="76">
        <f t="shared" si="123"/>
        <v>112.5</v>
      </c>
      <c r="DU11" s="76">
        <f t="shared" si="124"/>
        <v>58</v>
      </c>
      <c r="DV11" s="76">
        <f t="shared" si="125"/>
        <v>53.2</v>
      </c>
      <c r="DW11" s="92">
        <f t="shared" si="126"/>
        <v>0.91724137931034477</v>
      </c>
      <c r="DX11" s="185">
        <f t="shared" si="127"/>
        <v>28.6</v>
      </c>
      <c r="DY11" s="204">
        <f t="shared" si="128"/>
        <v>11.440000000000001</v>
      </c>
      <c r="DZ11" s="206">
        <f t="shared" si="129"/>
        <v>7.6266666666666669</v>
      </c>
      <c r="EA11" s="205">
        <f t="shared" si="130"/>
        <v>15</v>
      </c>
      <c r="EB11" s="76">
        <f t="shared" si="131"/>
        <v>6</v>
      </c>
      <c r="EC11" s="56">
        <f t="shared" si="132"/>
        <v>16</v>
      </c>
      <c r="ED11" s="57">
        <f t="shared" si="133"/>
        <v>6.4</v>
      </c>
      <c r="EE11" s="76">
        <f t="shared" si="134"/>
        <v>5.6</v>
      </c>
      <c r="EF11" s="57">
        <f t="shared" si="135"/>
        <v>16.574999999999999</v>
      </c>
      <c r="EG11" s="62">
        <f t="shared" si="136"/>
        <v>6.63</v>
      </c>
      <c r="EH11" s="298"/>
      <c r="EI11" s="294" t="s">
        <v>13</v>
      </c>
      <c r="EJ11" s="294" t="s">
        <v>795</v>
      </c>
      <c r="EK11" s="294" t="s">
        <v>844</v>
      </c>
      <c r="EL11" s="294">
        <v>24</v>
      </c>
      <c r="EM11" s="294" t="s">
        <v>801</v>
      </c>
      <c r="EN11" s="294" t="s">
        <v>562</v>
      </c>
      <c r="EO11" s="294" t="s">
        <v>601</v>
      </c>
      <c r="EP11" s="294" t="s">
        <v>845</v>
      </c>
      <c r="EQ11" s="294" t="s">
        <v>810</v>
      </c>
      <c r="ER11" s="295">
        <v>46155</v>
      </c>
      <c r="ES11" s="294">
        <v>225</v>
      </c>
      <c r="ET11" s="294">
        <v>3</v>
      </c>
      <c r="EU11" s="294">
        <v>0</v>
      </c>
      <c r="EV11" s="294">
        <v>0</v>
      </c>
      <c r="EW11" s="294">
        <v>0</v>
      </c>
      <c r="EX11" s="294">
        <v>2</v>
      </c>
      <c r="EY11" s="294">
        <v>0</v>
      </c>
      <c r="EZ11" s="294">
        <v>7.2</v>
      </c>
      <c r="FA11" s="294">
        <v>5.6</v>
      </c>
      <c r="FB11" s="294">
        <v>0</v>
      </c>
      <c r="FC11" s="294" t="s">
        <v>811</v>
      </c>
      <c r="FD11" s="294">
        <v>1</v>
      </c>
      <c r="FE11" s="294">
        <v>0</v>
      </c>
      <c r="FF11" s="294">
        <v>145</v>
      </c>
      <c r="FG11" s="294">
        <v>133</v>
      </c>
      <c r="FH11" s="294">
        <v>2</v>
      </c>
      <c r="FI11" s="294">
        <v>13</v>
      </c>
      <c r="FJ11" s="294">
        <v>0</v>
      </c>
      <c r="FK11" s="294">
        <v>0</v>
      </c>
      <c r="FL11" s="294">
        <v>0</v>
      </c>
      <c r="FM11" s="294">
        <v>3</v>
      </c>
      <c r="FN11" s="294">
        <v>1</v>
      </c>
      <c r="FO11" s="294">
        <v>9</v>
      </c>
      <c r="FP11" s="294">
        <v>1</v>
      </c>
      <c r="FQ11" s="294">
        <v>5</v>
      </c>
      <c r="FR11" s="294">
        <v>3</v>
      </c>
      <c r="FS11" s="294">
        <v>4</v>
      </c>
      <c r="FT11" s="294">
        <v>0</v>
      </c>
      <c r="FU11" s="294">
        <v>0</v>
      </c>
      <c r="FV11" s="294">
        <v>3</v>
      </c>
      <c r="FW11" s="294">
        <v>1</v>
      </c>
      <c r="FX11" s="294">
        <v>0</v>
      </c>
      <c r="FY11" s="294">
        <v>0</v>
      </c>
      <c r="FZ11" s="294">
        <v>0</v>
      </c>
      <c r="GA11" s="294">
        <v>0</v>
      </c>
      <c r="GB11" s="294">
        <v>1</v>
      </c>
      <c r="GC11" s="294">
        <v>1</v>
      </c>
      <c r="GD11" s="294">
        <v>2</v>
      </c>
      <c r="GE11" s="294">
        <v>1</v>
      </c>
      <c r="GF11" s="294">
        <v>0</v>
      </c>
      <c r="GG11" s="294">
        <v>0</v>
      </c>
      <c r="GH11" s="294">
        <v>0</v>
      </c>
      <c r="GI11" s="294">
        <v>6</v>
      </c>
      <c r="GJ11" s="294">
        <v>0</v>
      </c>
      <c r="GK11" s="294">
        <v>0</v>
      </c>
      <c r="GL11" s="294" t="s">
        <v>846</v>
      </c>
      <c r="GM11" s="299">
        <v>6.63</v>
      </c>
    </row>
    <row r="12" spans="1:195" ht="24.95" customHeight="1" x14ac:dyDescent="0.25"/>
    <row r="13" spans="1:195" ht="24.95" customHeight="1" x14ac:dyDescent="0.25"/>
    <row r="14" spans="1:195" ht="24.95" customHeight="1" x14ac:dyDescent="0.25"/>
    <row r="15" spans="1:195" ht="24.95" customHeight="1" x14ac:dyDescent="0.25"/>
    <row r="16" spans="1:195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  <row r="26" ht="24.95" customHeight="1" x14ac:dyDescent="0.25"/>
    <row r="27" ht="24.95" customHeight="1" x14ac:dyDescent="0.25"/>
    <row r="28" ht="24.95" customHeight="1" x14ac:dyDescent="0.25"/>
    <row r="29" ht="24.95" customHeight="1" x14ac:dyDescent="0.25"/>
    <row r="30" ht="24.95" customHeight="1" x14ac:dyDescent="0.25"/>
    <row r="31" ht="24.95" customHeight="1" x14ac:dyDescent="0.25"/>
    <row r="32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  <row r="196" ht="24.95" customHeight="1" x14ac:dyDescent="0.25"/>
    <row r="197" ht="24.95" customHeight="1" x14ac:dyDescent="0.25"/>
    <row r="198" ht="24.95" customHeight="1" x14ac:dyDescent="0.25"/>
    <row r="199" ht="24.95" customHeight="1" x14ac:dyDescent="0.25"/>
    <row r="200" ht="24.95" customHeight="1" x14ac:dyDescent="0.25"/>
    <row r="201" ht="24.95" customHeight="1" x14ac:dyDescent="0.25"/>
    <row r="202" ht="24.95" customHeight="1" x14ac:dyDescent="0.25"/>
    <row r="203" ht="24.95" customHeight="1" x14ac:dyDescent="0.25"/>
    <row r="204" ht="24.95" customHeight="1" x14ac:dyDescent="0.25"/>
    <row r="205" ht="24.95" customHeight="1" x14ac:dyDescent="0.25"/>
    <row r="206" ht="24.95" customHeight="1" x14ac:dyDescent="0.25"/>
    <row r="207" ht="24.95" customHeight="1" x14ac:dyDescent="0.25"/>
    <row r="208" ht="24.95" customHeight="1" x14ac:dyDescent="0.25"/>
    <row r="209" ht="24.95" customHeight="1" x14ac:dyDescent="0.25"/>
    <row r="210" ht="24.95" customHeight="1" x14ac:dyDescent="0.25"/>
    <row r="211" ht="24.95" customHeight="1" x14ac:dyDescent="0.25"/>
    <row r="212" ht="24.95" customHeight="1" x14ac:dyDescent="0.25"/>
    <row r="213" ht="24.95" customHeight="1" x14ac:dyDescent="0.25"/>
    <row r="214" ht="24.95" customHeight="1" x14ac:dyDescent="0.25"/>
    <row r="215" ht="24.95" customHeight="1" x14ac:dyDescent="0.25"/>
    <row r="216" ht="24.95" customHeight="1" x14ac:dyDescent="0.25"/>
    <row r="217" ht="24.95" customHeight="1" x14ac:dyDescent="0.25"/>
    <row r="218" ht="24.95" customHeight="1" x14ac:dyDescent="0.25"/>
    <row r="219" ht="24.95" customHeight="1" x14ac:dyDescent="0.25"/>
    <row r="220" ht="24.95" customHeight="1" x14ac:dyDescent="0.25"/>
    <row r="221" ht="24.95" customHeight="1" x14ac:dyDescent="0.25"/>
    <row r="222" ht="24.95" customHeight="1" x14ac:dyDescent="0.25"/>
    <row r="223" ht="24.95" customHeight="1" x14ac:dyDescent="0.25"/>
    <row r="224" ht="24.95" customHeight="1" x14ac:dyDescent="0.25"/>
    <row r="225" ht="24.95" customHeight="1" x14ac:dyDescent="0.25"/>
    <row r="226" ht="24.95" customHeight="1" x14ac:dyDescent="0.25"/>
    <row r="227" ht="24.95" customHeight="1" x14ac:dyDescent="0.25"/>
    <row r="228" ht="24.95" customHeight="1" x14ac:dyDescent="0.25"/>
    <row r="229" ht="24.95" customHeight="1" x14ac:dyDescent="0.25"/>
    <row r="230" ht="24.95" customHeight="1" x14ac:dyDescent="0.25"/>
    <row r="231" ht="24.95" customHeight="1" x14ac:dyDescent="0.25"/>
    <row r="232" ht="24.95" customHeight="1" x14ac:dyDescent="0.25"/>
    <row r="233" ht="24.95" customHeight="1" x14ac:dyDescent="0.25"/>
    <row r="234" ht="24.95" customHeight="1" x14ac:dyDescent="0.25"/>
    <row r="235" ht="24.95" customHeight="1" x14ac:dyDescent="0.25"/>
    <row r="236" ht="24.95" customHeight="1" x14ac:dyDescent="0.25"/>
    <row r="237" ht="24.95" customHeight="1" x14ac:dyDescent="0.25"/>
    <row r="238" ht="24.95" customHeight="1" x14ac:dyDescent="0.25"/>
    <row r="239" ht="24.95" customHeight="1" x14ac:dyDescent="0.25"/>
    <row r="240" ht="24.95" customHeight="1" x14ac:dyDescent="0.25"/>
    <row r="241" ht="24.95" customHeight="1" x14ac:dyDescent="0.25"/>
    <row r="242" ht="24.95" customHeight="1" x14ac:dyDescent="0.25"/>
    <row r="243" ht="24.95" customHeight="1" x14ac:dyDescent="0.25"/>
    <row r="244" ht="24.95" customHeight="1" x14ac:dyDescent="0.25"/>
    <row r="245" ht="24.95" customHeight="1" x14ac:dyDescent="0.25"/>
    <row r="246" ht="24.95" customHeight="1" x14ac:dyDescent="0.25"/>
    <row r="247" ht="24.95" customHeight="1" x14ac:dyDescent="0.25"/>
    <row r="248" ht="24.95" customHeight="1" x14ac:dyDescent="0.25"/>
    <row r="249" ht="24.95" customHeight="1" x14ac:dyDescent="0.25"/>
    <row r="250" ht="24.95" customHeight="1" x14ac:dyDescent="0.25"/>
    <row r="251" ht="24.95" customHeight="1" x14ac:dyDescent="0.25"/>
    <row r="252" ht="24.95" customHeight="1" x14ac:dyDescent="0.25"/>
    <row r="253" ht="24.95" customHeight="1" x14ac:dyDescent="0.25"/>
    <row r="254" ht="24.95" customHeight="1" x14ac:dyDescent="0.25"/>
    <row r="255" ht="24.95" customHeight="1" x14ac:dyDescent="0.25"/>
    <row r="256" ht="24.95" customHeight="1" x14ac:dyDescent="0.25"/>
    <row r="257" ht="24.95" customHeight="1" x14ac:dyDescent="0.25"/>
    <row r="258" ht="24.95" customHeight="1" x14ac:dyDescent="0.25"/>
    <row r="259" ht="24.95" customHeight="1" x14ac:dyDescent="0.25"/>
    <row r="260" ht="24.95" customHeight="1" x14ac:dyDescent="0.25"/>
    <row r="261" ht="24.95" customHeight="1" x14ac:dyDescent="0.25"/>
    <row r="262" ht="24.95" customHeight="1" x14ac:dyDescent="0.25"/>
    <row r="263" ht="24.95" customHeight="1" x14ac:dyDescent="0.25"/>
    <row r="264" ht="24.95" customHeight="1" x14ac:dyDescent="0.25"/>
    <row r="265" ht="24.95" customHeight="1" x14ac:dyDescent="0.25"/>
    <row r="266" ht="24.95" customHeight="1" x14ac:dyDescent="0.25"/>
    <row r="267" ht="24.95" customHeight="1" x14ac:dyDescent="0.25"/>
    <row r="268" ht="24.95" customHeight="1" x14ac:dyDescent="0.25"/>
    <row r="269" ht="24.95" customHeight="1" x14ac:dyDescent="0.25"/>
    <row r="270" ht="24.95" customHeight="1" x14ac:dyDescent="0.25"/>
    <row r="271" ht="24.95" customHeight="1" x14ac:dyDescent="0.25"/>
    <row r="272" ht="24.95" customHeight="1" x14ac:dyDescent="0.25"/>
    <row r="273" ht="24.95" customHeight="1" x14ac:dyDescent="0.25"/>
    <row r="274" ht="24.95" customHeight="1" x14ac:dyDescent="0.25"/>
    <row r="275" ht="24.95" customHeight="1" x14ac:dyDescent="0.25"/>
    <row r="276" ht="24.95" customHeight="1" x14ac:dyDescent="0.25"/>
    <row r="277" ht="24.95" customHeight="1" x14ac:dyDescent="0.25"/>
    <row r="278" ht="24.95" customHeight="1" x14ac:dyDescent="0.25"/>
    <row r="279" ht="24.95" customHeight="1" x14ac:dyDescent="0.25"/>
    <row r="280" ht="24.95" customHeight="1" x14ac:dyDescent="0.25"/>
    <row r="281" ht="24.95" customHeight="1" x14ac:dyDescent="0.25"/>
    <row r="282" ht="24.95" customHeight="1" x14ac:dyDescent="0.25"/>
    <row r="283" ht="24.95" customHeight="1" x14ac:dyDescent="0.25"/>
    <row r="284" ht="24.95" customHeight="1" x14ac:dyDescent="0.25"/>
    <row r="285" ht="24.95" customHeight="1" x14ac:dyDescent="0.25"/>
    <row r="286" ht="24.95" customHeight="1" x14ac:dyDescent="0.25"/>
    <row r="287" ht="24.95" customHeight="1" x14ac:dyDescent="0.25"/>
    <row r="288" ht="24.95" customHeight="1" x14ac:dyDescent="0.25"/>
    <row r="289" ht="24.95" customHeight="1" x14ac:dyDescent="0.25"/>
    <row r="290" ht="24.95" customHeight="1" x14ac:dyDescent="0.25"/>
    <row r="291" ht="24.95" customHeight="1" x14ac:dyDescent="0.25"/>
    <row r="292" ht="24.95" customHeight="1" x14ac:dyDescent="0.25"/>
    <row r="293" ht="24.95" customHeight="1" x14ac:dyDescent="0.25"/>
    <row r="294" ht="24.95" customHeight="1" x14ac:dyDescent="0.25"/>
    <row r="295" ht="24.95" customHeight="1" x14ac:dyDescent="0.25"/>
    <row r="296" ht="24.95" customHeight="1" x14ac:dyDescent="0.25"/>
    <row r="297" ht="24.95" customHeight="1" x14ac:dyDescent="0.25"/>
    <row r="298" ht="24.95" customHeight="1" x14ac:dyDescent="0.25"/>
    <row r="299" ht="24.95" customHeight="1" x14ac:dyDescent="0.25"/>
    <row r="300" ht="24.95" customHeight="1" x14ac:dyDescent="0.25"/>
    <row r="301" ht="24.95" customHeight="1" x14ac:dyDescent="0.25"/>
    <row r="302" ht="24.95" customHeight="1" x14ac:dyDescent="0.25"/>
    <row r="303" ht="24.95" customHeight="1" x14ac:dyDescent="0.25"/>
    <row r="304" ht="24.95" customHeight="1" x14ac:dyDescent="0.25"/>
    <row r="305" ht="24.95" customHeight="1" x14ac:dyDescent="0.25"/>
    <row r="306" ht="24.95" customHeight="1" x14ac:dyDescent="0.25"/>
    <row r="307" ht="24.95" customHeight="1" x14ac:dyDescent="0.25"/>
    <row r="308" ht="24.95" customHeight="1" x14ac:dyDescent="0.25"/>
    <row r="309" ht="24.95" customHeight="1" x14ac:dyDescent="0.25"/>
    <row r="310" ht="24.95" customHeight="1" x14ac:dyDescent="0.25"/>
    <row r="311" ht="24.95" customHeight="1" x14ac:dyDescent="0.25"/>
    <row r="312" ht="24.95" customHeight="1" x14ac:dyDescent="0.25"/>
    <row r="313" ht="24.95" customHeight="1" x14ac:dyDescent="0.25"/>
    <row r="314" ht="24.95" customHeight="1" x14ac:dyDescent="0.25"/>
    <row r="315" ht="24.95" customHeight="1" x14ac:dyDescent="0.25"/>
    <row r="316" ht="24.95" customHeight="1" x14ac:dyDescent="0.25"/>
    <row r="317" ht="24.95" customHeight="1" x14ac:dyDescent="0.25"/>
    <row r="318" ht="24.95" customHeight="1" x14ac:dyDescent="0.25"/>
    <row r="319" ht="24.95" customHeight="1" x14ac:dyDescent="0.25"/>
    <row r="320" ht="24.95" customHeight="1" x14ac:dyDescent="0.25"/>
    <row r="321" ht="24.95" customHeight="1" x14ac:dyDescent="0.25"/>
    <row r="322" ht="24.95" customHeight="1" x14ac:dyDescent="0.25"/>
    <row r="323" ht="24.95" customHeight="1" x14ac:dyDescent="0.25"/>
    <row r="324" ht="24.95" customHeight="1" x14ac:dyDescent="0.25"/>
    <row r="325" ht="24.95" customHeight="1" x14ac:dyDescent="0.25"/>
    <row r="326" ht="24.95" customHeight="1" x14ac:dyDescent="0.25"/>
    <row r="327" ht="24.95" customHeight="1" x14ac:dyDescent="0.25"/>
    <row r="328" ht="24.95" customHeight="1" x14ac:dyDescent="0.25"/>
    <row r="329" ht="24.95" customHeight="1" x14ac:dyDescent="0.25"/>
    <row r="330" ht="24.95" customHeight="1" x14ac:dyDescent="0.25"/>
    <row r="331" ht="24.95" customHeight="1" x14ac:dyDescent="0.25"/>
    <row r="332" ht="24.95" customHeight="1" x14ac:dyDescent="0.25"/>
    <row r="333" ht="24.95" customHeight="1" x14ac:dyDescent="0.25"/>
    <row r="334" ht="24.95" customHeight="1" x14ac:dyDescent="0.25"/>
    <row r="335" ht="24.95" customHeight="1" x14ac:dyDescent="0.25"/>
    <row r="336" ht="24.95" customHeight="1" x14ac:dyDescent="0.25"/>
    <row r="337" ht="24.95" customHeight="1" x14ac:dyDescent="0.25"/>
    <row r="338" ht="24.95" customHeight="1" x14ac:dyDescent="0.25"/>
    <row r="339" ht="24.95" customHeight="1" x14ac:dyDescent="0.25"/>
    <row r="340" ht="24.95" customHeight="1" x14ac:dyDescent="0.25"/>
    <row r="341" ht="24.95" customHeight="1" x14ac:dyDescent="0.25"/>
    <row r="342" ht="24.95" customHeight="1" x14ac:dyDescent="0.25"/>
    <row r="343" ht="24.95" customHeight="1" x14ac:dyDescent="0.25"/>
    <row r="344" ht="24.95" customHeight="1" x14ac:dyDescent="0.25"/>
    <row r="345" ht="24.95" customHeight="1" x14ac:dyDescent="0.25"/>
    <row r="346" ht="24.95" customHeight="1" x14ac:dyDescent="0.25"/>
    <row r="347" ht="24.95" customHeight="1" x14ac:dyDescent="0.25"/>
    <row r="348" ht="24.95" customHeight="1" x14ac:dyDescent="0.25"/>
    <row r="349" ht="24.95" customHeight="1" x14ac:dyDescent="0.25"/>
    <row r="350" ht="24.95" customHeight="1" x14ac:dyDescent="0.25"/>
    <row r="351" ht="24.95" customHeight="1" x14ac:dyDescent="0.25"/>
    <row r="352" ht="24.95" customHeight="1" x14ac:dyDescent="0.25"/>
    <row r="353" ht="24.95" customHeight="1" x14ac:dyDescent="0.25"/>
    <row r="354" ht="24.95" customHeight="1" x14ac:dyDescent="0.25"/>
    <row r="355" ht="24.95" customHeight="1" x14ac:dyDescent="0.25"/>
    <row r="356" ht="24.95" customHeight="1" x14ac:dyDescent="0.25"/>
    <row r="357" ht="24.95" customHeight="1" x14ac:dyDescent="0.25"/>
    <row r="358" ht="24.95" customHeight="1" x14ac:dyDescent="0.25"/>
    <row r="359" ht="24.95" customHeight="1" x14ac:dyDescent="0.25"/>
    <row r="360" ht="24.95" customHeight="1" x14ac:dyDescent="0.25"/>
    <row r="361" ht="24.95" customHeight="1" x14ac:dyDescent="0.25"/>
    <row r="362" ht="24.95" customHeight="1" x14ac:dyDescent="0.25"/>
    <row r="363" ht="24.95" customHeight="1" x14ac:dyDescent="0.25"/>
    <row r="364" ht="24.95" customHeight="1" x14ac:dyDescent="0.25"/>
    <row r="365" ht="24.95" customHeight="1" x14ac:dyDescent="0.25"/>
    <row r="366" ht="24.95" customHeight="1" x14ac:dyDescent="0.25"/>
    <row r="367" ht="24.95" customHeight="1" x14ac:dyDescent="0.25"/>
    <row r="368" ht="24.95" customHeight="1" x14ac:dyDescent="0.25"/>
    <row r="369" ht="24.95" customHeight="1" x14ac:dyDescent="0.25"/>
    <row r="370" ht="24.95" customHeight="1" x14ac:dyDescent="0.25"/>
    <row r="371" ht="24.95" customHeight="1" x14ac:dyDescent="0.25"/>
    <row r="372" ht="24.95" customHeight="1" x14ac:dyDescent="0.25"/>
    <row r="373" ht="24.95" customHeight="1" x14ac:dyDescent="0.25"/>
    <row r="374" ht="24.95" customHeight="1" x14ac:dyDescent="0.25"/>
    <row r="375" ht="24.95" customHeight="1" x14ac:dyDescent="0.25"/>
    <row r="376" ht="24.95" customHeight="1" x14ac:dyDescent="0.25"/>
    <row r="377" ht="24.95" customHeight="1" x14ac:dyDescent="0.25"/>
    <row r="378" ht="24.95" customHeight="1" x14ac:dyDescent="0.25"/>
    <row r="379" ht="24.95" customHeight="1" x14ac:dyDescent="0.25"/>
    <row r="380" ht="24.95" customHeight="1" x14ac:dyDescent="0.25"/>
    <row r="381" ht="24.95" customHeight="1" x14ac:dyDescent="0.25"/>
    <row r="382" ht="24.95" customHeight="1" x14ac:dyDescent="0.25"/>
    <row r="383" ht="24.95" customHeight="1" x14ac:dyDescent="0.25"/>
    <row r="384" ht="24.95" customHeight="1" x14ac:dyDescent="0.25"/>
    <row r="385" ht="24.95" customHeight="1" x14ac:dyDescent="0.25"/>
    <row r="386" ht="24.95" customHeight="1" x14ac:dyDescent="0.25"/>
    <row r="387" ht="24.95" customHeight="1" x14ac:dyDescent="0.25"/>
    <row r="388" ht="24.95" customHeight="1" x14ac:dyDescent="0.25"/>
    <row r="389" ht="24.95" customHeight="1" x14ac:dyDescent="0.25"/>
    <row r="390" ht="24.95" customHeight="1" x14ac:dyDescent="0.25"/>
    <row r="391" ht="24.95" customHeight="1" x14ac:dyDescent="0.25"/>
    <row r="392" ht="24.95" customHeight="1" x14ac:dyDescent="0.25"/>
    <row r="393" ht="24.95" customHeight="1" x14ac:dyDescent="0.25"/>
    <row r="394" ht="24.95" customHeight="1" x14ac:dyDescent="0.25"/>
    <row r="395" ht="24.95" customHeight="1" x14ac:dyDescent="0.25"/>
    <row r="396" ht="24.95" customHeight="1" x14ac:dyDescent="0.25"/>
    <row r="397" ht="24.95" customHeight="1" x14ac:dyDescent="0.25"/>
    <row r="398" ht="24.95" customHeight="1" x14ac:dyDescent="0.25"/>
    <row r="399" ht="24.95" customHeight="1" x14ac:dyDescent="0.25"/>
    <row r="400" ht="24.95" customHeight="1" x14ac:dyDescent="0.25"/>
    <row r="401" ht="24.95" customHeight="1" x14ac:dyDescent="0.25"/>
    <row r="402" ht="24.95" customHeight="1" x14ac:dyDescent="0.25"/>
    <row r="403" ht="24.95" customHeight="1" x14ac:dyDescent="0.25"/>
    <row r="404" ht="24.95" customHeight="1" x14ac:dyDescent="0.25"/>
    <row r="405" ht="24.95" customHeight="1" x14ac:dyDescent="0.25"/>
    <row r="406" ht="24.95" customHeight="1" x14ac:dyDescent="0.25"/>
    <row r="407" ht="24.95" customHeight="1" x14ac:dyDescent="0.25"/>
    <row r="408" ht="24.95" customHeight="1" x14ac:dyDescent="0.25"/>
    <row r="409" ht="24.95" customHeight="1" x14ac:dyDescent="0.25"/>
    <row r="410" ht="24.95" customHeight="1" x14ac:dyDescent="0.25"/>
    <row r="411" ht="24.95" customHeight="1" x14ac:dyDescent="0.25"/>
    <row r="412" ht="24.95" customHeight="1" x14ac:dyDescent="0.25"/>
    <row r="413" ht="24.95" customHeight="1" x14ac:dyDescent="0.25"/>
    <row r="414" ht="24.95" customHeight="1" x14ac:dyDescent="0.25"/>
    <row r="415" ht="24.95" customHeight="1" x14ac:dyDescent="0.25"/>
    <row r="416" ht="24.95" customHeight="1" x14ac:dyDescent="0.25"/>
    <row r="417" ht="24.95" customHeight="1" x14ac:dyDescent="0.25"/>
    <row r="418" ht="24.95" customHeight="1" x14ac:dyDescent="0.25"/>
    <row r="419" ht="24.95" customHeight="1" x14ac:dyDescent="0.25"/>
    <row r="420" ht="24.95" customHeight="1" x14ac:dyDescent="0.25"/>
    <row r="421" ht="24.95" customHeight="1" x14ac:dyDescent="0.25"/>
    <row r="422" ht="24.95" customHeight="1" x14ac:dyDescent="0.25"/>
    <row r="423" ht="24.95" customHeight="1" x14ac:dyDescent="0.25"/>
    <row r="424" ht="24.95" customHeight="1" x14ac:dyDescent="0.25"/>
    <row r="425" ht="24.95" customHeight="1" x14ac:dyDescent="0.25"/>
    <row r="426" ht="24.95" customHeight="1" x14ac:dyDescent="0.25"/>
    <row r="427" ht="24.95" customHeight="1" x14ac:dyDescent="0.25"/>
    <row r="428" ht="24.95" customHeight="1" x14ac:dyDescent="0.25"/>
    <row r="429" ht="24.95" customHeight="1" x14ac:dyDescent="0.25"/>
    <row r="430" ht="24.95" customHeight="1" x14ac:dyDescent="0.25"/>
    <row r="431" ht="24.95" customHeight="1" x14ac:dyDescent="0.25"/>
    <row r="432" ht="24.95" customHeight="1" x14ac:dyDescent="0.25"/>
    <row r="433" ht="24.95" customHeight="1" x14ac:dyDescent="0.25"/>
    <row r="434" ht="24.95" customHeight="1" x14ac:dyDescent="0.25"/>
    <row r="435" ht="24.95" customHeight="1" x14ac:dyDescent="0.25"/>
    <row r="436" ht="24.95" customHeight="1" x14ac:dyDescent="0.25"/>
    <row r="437" ht="24.95" customHeight="1" x14ac:dyDescent="0.25"/>
    <row r="438" ht="24.95" customHeight="1" x14ac:dyDescent="0.25"/>
    <row r="439" ht="24.95" customHeight="1" x14ac:dyDescent="0.25"/>
    <row r="440" ht="24.95" customHeight="1" x14ac:dyDescent="0.25"/>
    <row r="441" ht="24.95" customHeight="1" x14ac:dyDescent="0.25"/>
    <row r="442" ht="24.95" customHeight="1" x14ac:dyDescent="0.25"/>
    <row r="443" ht="24.95" customHeight="1" x14ac:dyDescent="0.25"/>
    <row r="444" ht="24.95" customHeight="1" x14ac:dyDescent="0.25"/>
    <row r="445" ht="24.95" customHeight="1" x14ac:dyDescent="0.25"/>
    <row r="446" ht="24.95" customHeight="1" x14ac:dyDescent="0.25"/>
    <row r="447" ht="24.95" customHeight="1" x14ac:dyDescent="0.25"/>
    <row r="448" ht="24.95" customHeight="1" x14ac:dyDescent="0.25"/>
    <row r="449" ht="24.95" customHeight="1" x14ac:dyDescent="0.25"/>
    <row r="450" ht="24.95" customHeight="1" x14ac:dyDescent="0.25"/>
    <row r="451" ht="24.95" customHeight="1" x14ac:dyDescent="0.25"/>
    <row r="452" ht="24.95" customHeight="1" x14ac:dyDescent="0.25"/>
    <row r="453" ht="24.95" customHeight="1" x14ac:dyDescent="0.25"/>
    <row r="454" ht="24.95" customHeight="1" x14ac:dyDescent="0.25"/>
    <row r="455" ht="24.95" customHeight="1" x14ac:dyDescent="0.25"/>
    <row r="456" ht="24.95" customHeight="1" x14ac:dyDescent="0.25"/>
    <row r="457" ht="24.95" customHeight="1" x14ac:dyDescent="0.25"/>
    <row r="458" ht="24.95" customHeight="1" x14ac:dyDescent="0.25"/>
    <row r="459" ht="24.95" customHeight="1" x14ac:dyDescent="0.25"/>
    <row r="460" ht="24.95" customHeight="1" x14ac:dyDescent="0.25"/>
    <row r="461" ht="24.95" customHeight="1" x14ac:dyDescent="0.25"/>
    <row r="462" ht="24.95" customHeight="1" x14ac:dyDescent="0.25"/>
    <row r="463" ht="24.95" customHeight="1" x14ac:dyDescent="0.25"/>
    <row r="464" ht="24.95" customHeight="1" x14ac:dyDescent="0.25"/>
    <row r="465" ht="24.95" customHeight="1" x14ac:dyDescent="0.25"/>
    <row r="466" ht="24.95" customHeight="1" x14ac:dyDescent="0.25"/>
    <row r="467" ht="24.95" customHeight="1" x14ac:dyDescent="0.25"/>
    <row r="468" ht="24.95" customHeight="1" x14ac:dyDescent="0.25"/>
    <row r="469" ht="24.95" customHeight="1" x14ac:dyDescent="0.25"/>
    <row r="470" ht="24.95" customHeight="1" x14ac:dyDescent="0.25"/>
    <row r="471" ht="24.95" customHeight="1" x14ac:dyDescent="0.25"/>
    <row r="472" ht="24.95" customHeight="1" x14ac:dyDescent="0.25"/>
    <row r="473" ht="24.95" customHeight="1" x14ac:dyDescent="0.25"/>
    <row r="474" ht="24.95" customHeight="1" x14ac:dyDescent="0.25"/>
    <row r="475" ht="24.95" customHeight="1" x14ac:dyDescent="0.25"/>
    <row r="476" ht="24.95" customHeight="1" x14ac:dyDescent="0.25"/>
    <row r="477" ht="24.95" customHeight="1" x14ac:dyDescent="0.25"/>
    <row r="478" ht="24.95" customHeight="1" x14ac:dyDescent="0.25"/>
    <row r="479" ht="24.95" customHeight="1" x14ac:dyDescent="0.25"/>
    <row r="480" ht="24.95" customHeight="1" x14ac:dyDescent="0.25"/>
    <row r="481" ht="24.95" customHeight="1" x14ac:dyDescent="0.25"/>
    <row r="482" ht="24.95" customHeight="1" x14ac:dyDescent="0.25"/>
    <row r="483" ht="24.95" customHeight="1" x14ac:dyDescent="0.25"/>
    <row r="484" ht="24.95" customHeight="1" x14ac:dyDescent="0.25"/>
    <row r="485" ht="24.95" customHeight="1" x14ac:dyDescent="0.25"/>
    <row r="486" ht="24.95" customHeight="1" x14ac:dyDescent="0.25"/>
    <row r="487" ht="24.95" customHeight="1" x14ac:dyDescent="0.25"/>
    <row r="488" ht="24.95" customHeight="1" x14ac:dyDescent="0.25"/>
    <row r="489" ht="24.95" customHeight="1" x14ac:dyDescent="0.25"/>
    <row r="490" ht="24.95" customHeight="1" x14ac:dyDescent="0.25"/>
    <row r="491" ht="24.95" customHeight="1" x14ac:dyDescent="0.25"/>
    <row r="492" ht="24.95" customHeight="1" x14ac:dyDescent="0.25"/>
    <row r="493" ht="24.95" customHeight="1" x14ac:dyDescent="0.25"/>
    <row r="494" ht="24.95" customHeight="1" x14ac:dyDescent="0.25"/>
    <row r="495" ht="24.95" customHeight="1" x14ac:dyDescent="0.25"/>
    <row r="496" ht="24.95" customHeight="1" x14ac:dyDescent="0.25"/>
    <row r="497" ht="24.95" customHeight="1" x14ac:dyDescent="0.25"/>
    <row r="498" ht="24.95" customHeight="1" x14ac:dyDescent="0.25"/>
    <row r="499" ht="24.95" customHeight="1" x14ac:dyDescent="0.25"/>
    <row r="500" ht="24.95" customHeight="1" x14ac:dyDescent="0.25"/>
    <row r="501" ht="24.95" customHeight="1" x14ac:dyDescent="0.25"/>
    <row r="502" ht="24.95" customHeight="1" x14ac:dyDescent="0.25"/>
    <row r="503" ht="24.95" customHeight="1" x14ac:dyDescent="0.25"/>
    <row r="504" ht="24.95" customHeight="1" x14ac:dyDescent="0.25"/>
    <row r="505" ht="24.95" customHeight="1" x14ac:dyDescent="0.25"/>
    <row r="506" ht="24.95" customHeight="1" x14ac:dyDescent="0.25"/>
    <row r="507" ht="24.95" customHeight="1" x14ac:dyDescent="0.25"/>
    <row r="508" ht="24.95" customHeight="1" x14ac:dyDescent="0.25"/>
    <row r="509" ht="24.95" customHeight="1" x14ac:dyDescent="0.25"/>
    <row r="510" ht="24.95" customHeight="1" x14ac:dyDescent="0.25"/>
    <row r="511" ht="24.95" customHeight="1" x14ac:dyDescent="0.25"/>
    <row r="512" ht="24.95" customHeight="1" x14ac:dyDescent="0.25"/>
    <row r="513" ht="24.95" customHeight="1" x14ac:dyDescent="0.25"/>
    <row r="514" ht="24.95" customHeight="1" x14ac:dyDescent="0.25"/>
    <row r="515" ht="24.95" customHeight="1" x14ac:dyDescent="0.25"/>
    <row r="516" ht="24.95" customHeight="1" x14ac:dyDescent="0.25"/>
    <row r="517" ht="24.95" customHeight="1" x14ac:dyDescent="0.25"/>
    <row r="518" ht="24.95" customHeight="1" x14ac:dyDescent="0.25"/>
    <row r="519" ht="24.95" customHeight="1" x14ac:dyDescent="0.25"/>
    <row r="520" ht="24.95" customHeight="1" x14ac:dyDescent="0.25"/>
    <row r="521" ht="24.95" customHeight="1" x14ac:dyDescent="0.25"/>
    <row r="522" ht="24.95" customHeight="1" x14ac:dyDescent="0.25"/>
    <row r="523" ht="24.95" customHeight="1" x14ac:dyDescent="0.25"/>
    <row r="524" ht="24.95" customHeight="1" x14ac:dyDescent="0.25"/>
    <row r="525" ht="24.95" customHeight="1" x14ac:dyDescent="0.25"/>
    <row r="526" ht="24.95" customHeight="1" x14ac:dyDescent="0.25"/>
    <row r="527" ht="24.95" customHeight="1" x14ac:dyDescent="0.25"/>
    <row r="528" ht="24.95" customHeight="1" x14ac:dyDescent="0.25"/>
    <row r="529" ht="24.95" customHeight="1" x14ac:dyDescent="0.25"/>
    <row r="530" ht="24.95" customHeight="1" x14ac:dyDescent="0.25"/>
    <row r="531" ht="24.95" customHeight="1" x14ac:dyDescent="0.25"/>
    <row r="532" ht="24.95" customHeight="1" x14ac:dyDescent="0.25"/>
    <row r="533" ht="24.95" customHeight="1" x14ac:dyDescent="0.25"/>
    <row r="534" ht="24.95" customHeight="1" x14ac:dyDescent="0.25"/>
    <row r="535" ht="24.95" customHeight="1" x14ac:dyDescent="0.25"/>
    <row r="536" ht="24.95" customHeight="1" x14ac:dyDescent="0.25"/>
    <row r="537" ht="24.95" customHeight="1" x14ac:dyDescent="0.25"/>
    <row r="538" ht="24.95" customHeight="1" x14ac:dyDescent="0.25"/>
    <row r="539" ht="24.95" customHeight="1" x14ac:dyDescent="0.25"/>
    <row r="540" ht="24.95" customHeight="1" x14ac:dyDescent="0.25"/>
    <row r="541" ht="24.95" customHeight="1" x14ac:dyDescent="0.25"/>
    <row r="542" ht="24.95" customHeight="1" x14ac:dyDescent="0.25"/>
    <row r="543" ht="24.95" customHeight="1" x14ac:dyDescent="0.25"/>
    <row r="544" ht="24.95" customHeight="1" x14ac:dyDescent="0.25"/>
    <row r="545" ht="24.95" customHeight="1" x14ac:dyDescent="0.25"/>
    <row r="546" ht="24.95" customHeight="1" x14ac:dyDescent="0.25"/>
    <row r="547" ht="24.95" customHeight="1" x14ac:dyDescent="0.25"/>
    <row r="548" ht="24.95" customHeight="1" x14ac:dyDescent="0.25"/>
    <row r="549" ht="24.95" customHeight="1" x14ac:dyDescent="0.25"/>
    <row r="550" ht="24.95" customHeight="1" x14ac:dyDescent="0.25"/>
    <row r="551" ht="24.95" customHeight="1" x14ac:dyDescent="0.25"/>
    <row r="552" ht="24.95" customHeight="1" x14ac:dyDescent="0.25"/>
    <row r="553" ht="24.95" customHeight="1" x14ac:dyDescent="0.25"/>
    <row r="554" ht="24.95" customHeight="1" x14ac:dyDescent="0.25"/>
    <row r="555" ht="24.95" customHeight="1" x14ac:dyDescent="0.25"/>
    <row r="556" ht="24.95" customHeight="1" x14ac:dyDescent="0.25"/>
    <row r="557" ht="24.95" customHeight="1" x14ac:dyDescent="0.25"/>
    <row r="558" ht="24.95" customHeight="1" x14ac:dyDescent="0.25"/>
    <row r="559" ht="24.95" customHeight="1" x14ac:dyDescent="0.25"/>
    <row r="560" ht="24.95" customHeight="1" x14ac:dyDescent="0.25"/>
    <row r="561" ht="24.95" customHeight="1" x14ac:dyDescent="0.25"/>
    <row r="562" ht="24.95" customHeight="1" x14ac:dyDescent="0.25"/>
    <row r="563" ht="24.95" customHeight="1" x14ac:dyDescent="0.25"/>
    <row r="564" ht="24.95" customHeight="1" x14ac:dyDescent="0.25"/>
    <row r="565" ht="24.95" customHeight="1" x14ac:dyDescent="0.25"/>
    <row r="566" ht="24.95" customHeight="1" x14ac:dyDescent="0.25"/>
    <row r="567" ht="24.95" customHeight="1" x14ac:dyDescent="0.25"/>
    <row r="568" ht="24.95" customHeight="1" x14ac:dyDescent="0.25"/>
    <row r="569" ht="24.95" customHeight="1" x14ac:dyDescent="0.25"/>
    <row r="570" ht="24.95" customHeight="1" x14ac:dyDescent="0.25"/>
    <row r="571" ht="24.95" customHeight="1" x14ac:dyDescent="0.25"/>
    <row r="572" ht="24.95" customHeight="1" x14ac:dyDescent="0.25"/>
    <row r="573" ht="24.95" customHeight="1" x14ac:dyDescent="0.25"/>
    <row r="574" ht="24.95" customHeight="1" x14ac:dyDescent="0.25"/>
    <row r="575" ht="24.95" customHeight="1" x14ac:dyDescent="0.25"/>
    <row r="576" ht="24.95" customHeight="1" x14ac:dyDescent="0.25"/>
    <row r="577" ht="24.95" customHeight="1" x14ac:dyDescent="0.25"/>
    <row r="578" ht="24.95" customHeight="1" x14ac:dyDescent="0.25"/>
    <row r="579" ht="24.95" customHeight="1" x14ac:dyDescent="0.25"/>
    <row r="580" ht="24.95" customHeight="1" x14ac:dyDescent="0.25"/>
    <row r="581" ht="24.95" customHeight="1" x14ac:dyDescent="0.25"/>
    <row r="582" ht="24.95" customHeight="1" x14ac:dyDescent="0.25"/>
    <row r="583" ht="24.95" customHeight="1" x14ac:dyDescent="0.25"/>
    <row r="584" ht="24.95" customHeight="1" x14ac:dyDescent="0.25"/>
    <row r="585" ht="24.95" customHeight="1" x14ac:dyDescent="0.25"/>
    <row r="586" ht="24.95" customHeight="1" x14ac:dyDescent="0.25"/>
    <row r="587" ht="24.95" customHeight="1" x14ac:dyDescent="0.25"/>
    <row r="588" ht="24.95" customHeight="1" x14ac:dyDescent="0.25"/>
    <row r="589" ht="24.95" customHeight="1" x14ac:dyDescent="0.25"/>
    <row r="590" ht="24.95" customHeight="1" x14ac:dyDescent="0.25"/>
    <row r="591" ht="24.95" customHeight="1" x14ac:dyDescent="0.25"/>
    <row r="592" ht="24.95" customHeight="1" x14ac:dyDescent="0.25"/>
    <row r="593" ht="24.95" customHeight="1" x14ac:dyDescent="0.25"/>
    <row r="594" ht="24.95" customHeight="1" x14ac:dyDescent="0.25"/>
    <row r="595" ht="24.95" customHeight="1" x14ac:dyDescent="0.25"/>
    <row r="596" ht="24.95" customHeight="1" x14ac:dyDescent="0.25"/>
    <row r="597" ht="24.95" customHeight="1" x14ac:dyDescent="0.25"/>
    <row r="598" ht="24.95" customHeight="1" x14ac:dyDescent="0.25"/>
    <row r="599" ht="24.95" customHeight="1" x14ac:dyDescent="0.25"/>
    <row r="600" ht="24.95" customHeight="1" x14ac:dyDescent="0.25"/>
    <row r="601" ht="24.95" customHeight="1" x14ac:dyDescent="0.25"/>
    <row r="602" ht="24.95" customHeight="1" x14ac:dyDescent="0.25"/>
    <row r="603" ht="24.95" customHeight="1" x14ac:dyDescent="0.25"/>
    <row r="604" ht="24.95" customHeight="1" x14ac:dyDescent="0.25"/>
    <row r="605" ht="24.95" customHeight="1" x14ac:dyDescent="0.25"/>
    <row r="606" ht="24.95" customHeight="1" x14ac:dyDescent="0.25"/>
    <row r="607" ht="24.95" customHeight="1" x14ac:dyDescent="0.25"/>
    <row r="608" ht="24.95" customHeight="1" x14ac:dyDescent="0.25"/>
    <row r="609" ht="24.95" customHeight="1" x14ac:dyDescent="0.25"/>
    <row r="610" ht="24.95" customHeight="1" x14ac:dyDescent="0.25"/>
    <row r="611" ht="24.95" customHeight="1" x14ac:dyDescent="0.25"/>
    <row r="612" ht="24.95" customHeight="1" x14ac:dyDescent="0.25"/>
    <row r="613" ht="24.95" customHeight="1" x14ac:dyDescent="0.25"/>
    <row r="614" ht="24.95" customHeight="1" x14ac:dyDescent="0.25"/>
    <row r="615" ht="24.95" customHeight="1" x14ac:dyDescent="0.25"/>
    <row r="616" ht="24.95" customHeight="1" x14ac:dyDescent="0.25"/>
    <row r="617" ht="24.95" customHeight="1" x14ac:dyDescent="0.25"/>
    <row r="618" ht="24.95" customHeight="1" x14ac:dyDescent="0.25"/>
    <row r="619" ht="24.95" customHeight="1" x14ac:dyDescent="0.25"/>
    <row r="620" ht="24.95" customHeight="1" x14ac:dyDescent="0.25"/>
    <row r="621" ht="24.95" customHeight="1" x14ac:dyDescent="0.25"/>
    <row r="622" ht="24.95" customHeight="1" x14ac:dyDescent="0.25"/>
    <row r="623" ht="24.95" customHeight="1" x14ac:dyDescent="0.25"/>
    <row r="624" ht="24.95" customHeight="1" x14ac:dyDescent="0.25"/>
    <row r="625" ht="24.95" customHeight="1" x14ac:dyDescent="0.25"/>
    <row r="626" ht="24.95" customHeight="1" x14ac:dyDescent="0.25"/>
    <row r="627" ht="24.95" customHeight="1" x14ac:dyDescent="0.25"/>
    <row r="628" ht="24.95" customHeight="1" x14ac:dyDescent="0.25"/>
    <row r="629" ht="24.95" customHeight="1" x14ac:dyDescent="0.25"/>
    <row r="630" ht="24.95" customHeight="1" x14ac:dyDescent="0.25"/>
    <row r="631" ht="24.95" customHeight="1" x14ac:dyDescent="0.25"/>
    <row r="632" ht="24.95" customHeight="1" x14ac:dyDescent="0.25"/>
    <row r="633" ht="24.95" customHeight="1" x14ac:dyDescent="0.25"/>
    <row r="634" ht="24.95" customHeight="1" x14ac:dyDescent="0.25"/>
    <row r="635" ht="24.95" customHeight="1" x14ac:dyDescent="0.25"/>
    <row r="636" ht="24.95" customHeight="1" x14ac:dyDescent="0.25"/>
    <row r="637" ht="24.95" customHeight="1" x14ac:dyDescent="0.25"/>
    <row r="638" ht="24.95" customHeight="1" x14ac:dyDescent="0.25"/>
    <row r="639" ht="24.95" customHeight="1" x14ac:dyDescent="0.25"/>
    <row r="640" ht="24.95" customHeight="1" x14ac:dyDescent="0.25"/>
    <row r="641" ht="24.95" customHeight="1" x14ac:dyDescent="0.25"/>
    <row r="642" ht="24.95" customHeight="1" x14ac:dyDescent="0.25"/>
    <row r="643" ht="24.95" customHeight="1" x14ac:dyDescent="0.25"/>
    <row r="644" ht="24.95" customHeight="1" x14ac:dyDescent="0.25"/>
    <row r="645" ht="24.95" customHeight="1" x14ac:dyDescent="0.25"/>
    <row r="646" ht="24.95" customHeight="1" x14ac:dyDescent="0.25"/>
    <row r="647" ht="24.95" customHeight="1" x14ac:dyDescent="0.25"/>
    <row r="648" ht="24.95" customHeight="1" x14ac:dyDescent="0.25"/>
    <row r="649" ht="24.95" customHeight="1" x14ac:dyDescent="0.25"/>
    <row r="650" ht="24.95" customHeight="1" x14ac:dyDescent="0.25"/>
    <row r="651" ht="24.95" customHeight="1" x14ac:dyDescent="0.25"/>
    <row r="652" ht="24.95" customHeight="1" x14ac:dyDescent="0.25"/>
    <row r="653" ht="24.95" customHeight="1" x14ac:dyDescent="0.25"/>
    <row r="654" ht="24.95" customHeight="1" x14ac:dyDescent="0.25"/>
    <row r="655" ht="24.95" customHeight="1" x14ac:dyDescent="0.25"/>
    <row r="656" ht="24.95" customHeight="1" x14ac:dyDescent="0.25"/>
    <row r="657" ht="24.95" customHeight="1" x14ac:dyDescent="0.25"/>
    <row r="658" ht="24.95" customHeight="1" x14ac:dyDescent="0.25"/>
    <row r="659" ht="24.95" customHeight="1" x14ac:dyDescent="0.25"/>
    <row r="660" ht="24.95" customHeight="1" x14ac:dyDescent="0.25"/>
    <row r="661" ht="24.95" customHeight="1" x14ac:dyDescent="0.25"/>
    <row r="662" ht="24.95" customHeight="1" x14ac:dyDescent="0.25"/>
    <row r="663" ht="24.95" customHeight="1" x14ac:dyDescent="0.25"/>
    <row r="664" ht="24.95" customHeight="1" x14ac:dyDescent="0.25"/>
    <row r="665" ht="24.95" customHeight="1" x14ac:dyDescent="0.25"/>
    <row r="666" ht="24.95" customHeight="1" x14ac:dyDescent="0.25"/>
    <row r="667" ht="24.95" customHeight="1" x14ac:dyDescent="0.25"/>
    <row r="668" ht="24.95" customHeight="1" x14ac:dyDescent="0.25"/>
    <row r="669" ht="24.95" customHeight="1" x14ac:dyDescent="0.25"/>
    <row r="670" ht="24.95" customHeight="1" x14ac:dyDescent="0.25"/>
    <row r="671" ht="24.95" customHeight="1" x14ac:dyDescent="0.25"/>
    <row r="672" ht="24.95" customHeight="1" x14ac:dyDescent="0.25"/>
    <row r="673" ht="24.95" customHeight="1" x14ac:dyDescent="0.25"/>
    <row r="674" ht="24.95" customHeight="1" x14ac:dyDescent="0.25"/>
    <row r="675" ht="24.95" customHeight="1" x14ac:dyDescent="0.25"/>
    <row r="676" ht="24.95" customHeight="1" x14ac:dyDescent="0.25"/>
    <row r="677" ht="24.95" customHeight="1" x14ac:dyDescent="0.25"/>
    <row r="678" ht="24.95" customHeight="1" x14ac:dyDescent="0.25"/>
    <row r="679" ht="24.95" customHeight="1" x14ac:dyDescent="0.25"/>
    <row r="680" ht="24.95" customHeight="1" x14ac:dyDescent="0.25"/>
    <row r="681" ht="24.95" customHeight="1" x14ac:dyDescent="0.25"/>
    <row r="682" ht="24.95" customHeight="1" x14ac:dyDescent="0.25"/>
    <row r="683" ht="24.95" customHeight="1" x14ac:dyDescent="0.25"/>
    <row r="684" ht="24.95" customHeight="1" x14ac:dyDescent="0.25"/>
    <row r="685" ht="24.95" customHeight="1" x14ac:dyDescent="0.25"/>
    <row r="686" ht="24.95" customHeight="1" x14ac:dyDescent="0.25"/>
    <row r="687" ht="24.95" customHeight="1" x14ac:dyDescent="0.25"/>
    <row r="688" ht="24.95" customHeight="1" x14ac:dyDescent="0.25"/>
    <row r="689" ht="24.95" customHeight="1" x14ac:dyDescent="0.25"/>
    <row r="690" ht="24.95" customHeight="1" x14ac:dyDescent="0.25"/>
    <row r="691" ht="24.95" customHeight="1" x14ac:dyDescent="0.25"/>
    <row r="692" ht="24.95" customHeight="1" x14ac:dyDescent="0.25"/>
    <row r="693" ht="24.95" customHeight="1" x14ac:dyDescent="0.25"/>
    <row r="694" ht="24.95" customHeight="1" x14ac:dyDescent="0.25"/>
    <row r="695" ht="24.95" customHeight="1" x14ac:dyDescent="0.25"/>
    <row r="696" ht="24.95" customHeight="1" x14ac:dyDescent="0.25"/>
    <row r="697" ht="24.95" customHeight="1" x14ac:dyDescent="0.25"/>
    <row r="698" ht="24.95" customHeight="1" x14ac:dyDescent="0.25"/>
    <row r="699" ht="24.95" customHeight="1" x14ac:dyDescent="0.25"/>
    <row r="700" ht="24.95" customHeight="1" x14ac:dyDescent="0.25"/>
    <row r="701" ht="24.95" customHeight="1" x14ac:dyDescent="0.25"/>
    <row r="702" ht="24.95" customHeight="1" x14ac:dyDescent="0.25"/>
    <row r="703" ht="24.95" customHeight="1" x14ac:dyDescent="0.25"/>
    <row r="704" ht="24.95" customHeight="1" x14ac:dyDescent="0.25"/>
    <row r="705" ht="24.95" customHeight="1" x14ac:dyDescent="0.25"/>
    <row r="706" ht="24.95" customHeight="1" x14ac:dyDescent="0.25"/>
    <row r="707" ht="24.95" customHeight="1" x14ac:dyDescent="0.25"/>
    <row r="708" ht="24.95" customHeight="1" x14ac:dyDescent="0.25"/>
    <row r="709" ht="24.95" customHeight="1" x14ac:dyDescent="0.25"/>
    <row r="710" ht="24.95" customHeight="1" x14ac:dyDescent="0.25"/>
    <row r="711" ht="24.95" customHeight="1" x14ac:dyDescent="0.25"/>
    <row r="712" ht="24.95" customHeight="1" x14ac:dyDescent="0.25"/>
    <row r="713" ht="24.95" customHeight="1" x14ac:dyDescent="0.25"/>
    <row r="714" ht="24.95" customHeight="1" x14ac:dyDescent="0.25"/>
    <row r="715" ht="24.95" customHeight="1" x14ac:dyDescent="0.25"/>
    <row r="716" ht="24.95" customHeight="1" x14ac:dyDescent="0.25"/>
    <row r="717" ht="24.95" customHeight="1" x14ac:dyDescent="0.25"/>
    <row r="718" ht="24.95" customHeight="1" x14ac:dyDescent="0.25"/>
    <row r="719" ht="24.95" customHeight="1" x14ac:dyDescent="0.25"/>
    <row r="720" ht="24.95" customHeight="1" x14ac:dyDescent="0.25"/>
    <row r="721" ht="24.95" customHeight="1" x14ac:dyDescent="0.25"/>
    <row r="722" ht="24.95" customHeight="1" x14ac:dyDescent="0.25"/>
    <row r="723" ht="24.95" customHeight="1" x14ac:dyDescent="0.25"/>
    <row r="724" ht="24.95" customHeight="1" x14ac:dyDescent="0.25"/>
    <row r="725" ht="24.95" customHeight="1" x14ac:dyDescent="0.25"/>
    <row r="726" ht="24.95" customHeight="1" x14ac:dyDescent="0.25"/>
    <row r="727" ht="24.95" customHeight="1" x14ac:dyDescent="0.25"/>
    <row r="728" ht="24.95" customHeight="1" x14ac:dyDescent="0.25"/>
    <row r="729" ht="24.95" customHeight="1" x14ac:dyDescent="0.25"/>
    <row r="730" ht="24.95" customHeight="1" x14ac:dyDescent="0.25"/>
    <row r="731" ht="24.95" customHeight="1" x14ac:dyDescent="0.25"/>
    <row r="732" ht="24.95" customHeight="1" x14ac:dyDescent="0.25"/>
    <row r="733" ht="24.95" customHeight="1" x14ac:dyDescent="0.25"/>
    <row r="734" ht="24.95" customHeight="1" x14ac:dyDescent="0.25"/>
    <row r="735" ht="24.95" customHeight="1" x14ac:dyDescent="0.25"/>
    <row r="736" ht="24.95" customHeight="1" x14ac:dyDescent="0.25"/>
    <row r="737" ht="24.95" customHeight="1" x14ac:dyDescent="0.25"/>
    <row r="738" ht="24.95" customHeight="1" x14ac:dyDescent="0.25"/>
    <row r="739" ht="24.95" customHeight="1" x14ac:dyDescent="0.25"/>
    <row r="740" ht="24.95" customHeight="1" x14ac:dyDescent="0.25"/>
    <row r="741" ht="24.95" customHeight="1" x14ac:dyDescent="0.25"/>
    <row r="742" ht="24.95" customHeight="1" x14ac:dyDescent="0.25"/>
    <row r="743" ht="24.95" customHeight="1" x14ac:dyDescent="0.25"/>
    <row r="744" ht="24.95" customHeight="1" x14ac:dyDescent="0.25"/>
    <row r="745" ht="24.95" customHeight="1" x14ac:dyDescent="0.25"/>
    <row r="746" ht="24.95" customHeight="1" x14ac:dyDescent="0.25"/>
    <row r="747" ht="24.95" customHeight="1" x14ac:dyDescent="0.25"/>
    <row r="748" ht="24.95" customHeight="1" x14ac:dyDescent="0.25"/>
    <row r="749" ht="24.95" customHeight="1" x14ac:dyDescent="0.25"/>
    <row r="750" ht="24.95" customHeight="1" x14ac:dyDescent="0.25"/>
    <row r="751" ht="24.95" customHeight="1" x14ac:dyDescent="0.25"/>
    <row r="752" ht="24.95" customHeight="1" x14ac:dyDescent="0.25"/>
    <row r="753" ht="24.95" customHeight="1" x14ac:dyDescent="0.25"/>
    <row r="754" ht="24.95" customHeight="1" x14ac:dyDescent="0.25"/>
    <row r="755" ht="24.95" customHeight="1" x14ac:dyDescent="0.25"/>
    <row r="756" ht="24.95" customHeight="1" x14ac:dyDescent="0.25"/>
    <row r="757" ht="24.95" customHeight="1" x14ac:dyDescent="0.25"/>
    <row r="758" ht="24.95" customHeight="1" x14ac:dyDescent="0.25"/>
    <row r="759" ht="24.95" customHeight="1" x14ac:dyDescent="0.25"/>
    <row r="760" ht="24.95" customHeight="1" x14ac:dyDescent="0.25"/>
    <row r="761" ht="24.95" customHeight="1" x14ac:dyDescent="0.25"/>
    <row r="762" ht="24.95" customHeight="1" x14ac:dyDescent="0.25"/>
    <row r="763" ht="24.95" customHeight="1" x14ac:dyDescent="0.25"/>
    <row r="764" ht="24.95" customHeight="1" x14ac:dyDescent="0.25"/>
    <row r="765" ht="24.95" customHeight="1" x14ac:dyDescent="0.25"/>
    <row r="766" ht="24.95" customHeight="1" x14ac:dyDescent="0.25"/>
    <row r="767" ht="24.95" customHeight="1" x14ac:dyDescent="0.25"/>
    <row r="768" ht="24.95" customHeight="1" x14ac:dyDescent="0.25"/>
    <row r="769" ht="24.95" customHeight="1" x14ac:dyDescent="0.25"/>
    <row r="770" ht="24.95" customHeight="1" x14ac:dyDescent="0.25"/>
    <row r="771" ht="24.95" customHeight="1" x14ac:dyDescent="0.25"/>
    <row r="772" ht="24.95" customHeight="1" x14ac:dyDescent="0.25"/>
    <row r="773" ht="24.95" customHeight="1" x14ac:dyDescent="0.25"/>
    <row r="774" ht="24.95" customHeight="1" x14ac:dyDescent="0.25"/>
    <row r="775" ht="24.95" customHeight="1" x14ac:dyDescent="0.25"/>
    <row r="776" ht="24.95" customHeight="1" x14ac:dyDescent="0.25"/>
    <row r="777" ht="24.95" customHeight="1" x14ac:dyDescent="0.25"/>
    <row r="778" ht="24.95" customHeight="1" x14ac:dyDescent="0.25"/>
    <row r="779" ht="24.95" customHeight="1" x14ac:dyDescent="0.25"/>
    <row r="780" ht="24.95" customHeight="1" x14ac:dyDescent="0.25"/>
    <row r="781" ht="24.95" customHeight="1" x14ac:dyDescent="0.25"/>
    <row r="782" ht="24.95" customHeight="1" x14ac:dyDescent="0.25"/>
    <row r="783" ht="24.95" customHeight="1" x14ac:dyDescent="0.25"/>
    <row r="784" ht="24.95" customHeight="1" x14ac:dyDescent="0.25"/>
    <row r="785" ht="24.95" customHeight="1" x14ac:dyDescent="0.25"/>
    <row r="786" ht="24.95" customHeight="1" x14ac:dyDescent="0.25"/>
    <row r="787" ht="24.95" customHeight="1" x14ac:dyDescent="0.25"/>
    <row r="788" ht="24.95" customHeight="1" x14ac:dyDescent="0.25"/>
    <row r="789" ht="24.95" customHeight="1" x14ac:dyDescent="0.25"/>
    <row r="790" ht="24.95" customHeight="1" x14ac:dyDescent="0.25"/>
    <row r="791" ht="24.95" customHeight="1" x14ac:dyDescent="0.25"/>
    <row r="792" ht="24.95" customHeight="1" x14ac:dyDescent="0.25"/>
    <row r="793" ht="24.95" customHeight="1" x14ac:dyDescent="0.25"/>
    <row r="794" ht="24.95" customHeight="1" x14ac:dyDescent="0.25"/>
    <row r="795" ht="24.95" customHeight="1" x14ac:dyDescent="0.25"/>
    <row r="796" ht="24.95" customHeight="1" x14ac:dyDescent="0.25"/>
    <row r="797" ht="24.95" customHeight="1" x14ac:dyDescent="0.25"/>
    <row r="798" ht="24.95" customHeight="1" x14ac:dyDescent="0.25"/>
    <row r="799" ht="24.95" customHeight="1" x14ac:dyDescent="0.25"/>
    <row r="800" ht="24.95" customHeight="1" x14ac:dyDescent="0.25"/>
    <row r="801" ht="24.95" customHeight="1" x14ac:dyDescent="0.25"/>
    <row r="802" ht="24.95" customHeight="1" x14ac:dyDescent="0.25"/>
    <row r="803" ht="24.95" customHeight="1" x14ac:dyDescent="0.25"/>
    <row r="804" ht="24.95" customHeight="1" x14ac:dyDescent="0.25"/>
    <row r="805" ht="24.95" customHeight="1" x14ac:dyDescent="0.25"/>
    <row r="806" ht="24.95" customHeight="1" x14ac:dyDescent="0.25"/>
    <row r="807" ht="24.95" customHeight="1" x14ac:dyDescent="0.25"/>
    <row r="808" ht="24.95" customHeight="1" x14ac:dyDescent="0.25"/>
    <row r="809" ht="24.95" customHeight="1" x14ac:dyDescent="0.25"/>
    <row r="810" ht="24.95" customHeight="1" x14ac:dyDescent="0.25"/>
    <row r="811" ht="24.95" customHeight="1" x14ac:dyDescent="0.25"/>
    <row r="812" ht="24.95" customHeight="1" x14ac:dyDescent="0.25"/>
    <row r="813" ht="24.95" customHeight="1" x14ac:dyDescent="0.25"/>
    <row r="814" ht="24.95" customHeight="1" x14ac:dyDescent="0.25"/>
    <row r="815" ht="24.95" customHeight="1" x14ac:dyDescent="0.25"/>
    <row r="816" ht="24.95" customHeight="1" x14ac:dyDescent="0.25"/>
    <row r="817" ht="24.95" customHeight="1" x14ac:dyDescent="0.25"/>
    <row r="818" ht="24.95" customHeight="1" x14ac:dyDescent="0.25"/>
    <row r="819" ht="24.95" customHeight="1" x14ac:dyDescent="0.25"/>
    <row r="820" ht="24.95" customHeight="1" x14ac:dyDescent="0.25"/>
    <row r="821" ht="24.95" customHeight="1" x14ac:dyDescent="0.25"/>
    <row r="822" ht="24.95" customHeight="1" x14ac:dyDescent="0.25"/>
    <row r="823" ht="24.95" customHeight="1" x14ac:dyDescent="0.25"/>
    <row r="824" ht="24.95" customHeight="1" x14ac:dyDescent="0.25"/>
    <row r="825" ht="24.95" customHeight="1" x14ac:dyDescent="0.25"/>
    <row r="826" ht="24.95" customHeight="1" x14ac:dyDescent="0.25"/>
    <row r="827" ht="24.95" customHeight="1" x14ac:dyDescent="0.25"/>
    <row r="828" ht="24.95" customHeight="1" x14ac:dyDescent="0.25"/>
    <row r="829" ht="24.95" customHeight="1" x14ac:dyDescent="0.25"/>
    <row r="830" ht="24.95" customHeight="1" x14ac:dyDescent="0.25"/>
    <row r="831" ht="24.95" customHeight="1" x14ac:dyDescent="0.25"/>
    <row r="832" ht="24.95" customHeight="1" x14ac:dyDescent="0.25"/>
    <row r="833" ht="24.95" customHeight="1" x14ac:dyDescent="0.25"/>
    <row r="834" ht="24.95" customHeight="1" x14ac:dyDescent="0.25"/>
    <row r="835" ht="24.95" customHeight="1" x14ac:dyDescent="0.25"/>
    <row r="836" ht="24.95" customHeight="1" x14ac:dyDescent="0.25"/>
    <row r="837" ht="24.95" customHeight="1" x14ac:dyDescent="0.25"/>
    <row r="838" ht="24.95" customHeight="1" x14ac:dyDescent="0.25"/>
    <row r="839" ht="24.95" customHeight="1" x14ac:dyDescent="0.25"/>
    <row r="840" ht="24.95" customHeight="1" x14ac:dyDescent="0.25"/>
    <row r="841" ht="24.95" customHeight="1" x14ac:dyDescent="0.25"/>
    <row r="842" ht="24.95" customHeight="1" x14ac:dyDescent="0.25"/>
    <row r="843" ht="24.95" customHeight="1" x14ac:dyDescent="0.25"/>
    <row r="844" ht="24.95" customHeight="1" x14ac:dyDescent="0.25"/>
    <row r="845" ht="24.95" customHeight="1" x14ac:dyDescent="0.25"/>
    <row r="846" ht="24.95" customHeight="1" x14ac:dyDescent="0.25"/>
    <row r="847" ht="24.95" customHeight="1" x14ac:dyDescent="0.25"/>
    <row r="848" ht="24.95" customHeight="1" x14ac:dyDescent="0.25"/>
    <row r="849" ht="24.95" customHeight="1" x14ac:dyDescent="0.25"/>
    <row r="850" ht="24.95" customHeight="1" x14ac:dyDescent="0.25"/>
    <row r="851" ht="24.95" customHeight="1" x14ac:dyDescent="0.25"/>
    <row r="852" ht="24.95" customHeight="1" x14ac:dyDescent="0.25"/>
    <row r="853" ht="24.95" customHeight="1" x14ac:dyDescent="0.25"/>
    <row r="854" ht="24.95" customHeight="1" x14ac:dyDescent="0.25"/>
    <row r="855" ht="24.95" customHeight="1" x14ac:dyDescent="0.25"/>
    <row r="856" ht="24.95" customHeight="1" x14ac:dyDescent="0.25"/>
    <row r="857" ht="24.95" customHeight="1" x14ac:dyDescent="0.25"/>
    <row r="858" ht="24.95" customHeight="1" x14ac:dyDescent="0.25"/>
    <row r="859" ht="24.95" customHeight="1" x14ac:dyDescent="0.25"/>
    <row r="860" ht="24.95" customHeight="1" x14ac:dyDescent="0.25"/>
    <row r="861" ht="24.95" customHeight="1" x14ac:dyDescent="0.25"/>
    <row r="862" ht="24.95" customHeight="1" x14ac:dyDescent="0.25"/>
    <row r="863" ht="24.95" customHeight="1" x14ac:dyDescent="0.25"/>
    <row r="864" ht="24.95" customHeight="1" x14ac:dyDescent="0.25"/>
    <row r="865" ht="24.95" customHeight="1" x14ac:dyDescent="0.25"/>
    <row r="866" ht="24.95" customHeight="1" x14ac:dyDescent="0.25"/>
    <row r="867" ht="24.95" customHeight="1" x14ac:dyDescent="0.25"/>
    <row r="868" ht="24.95" customHeight="1" x14ac:dyDescent="0.25"/>
    <row r="869" ht="24.95" customHeight="1" x14ac:dyDescent="0.25"/>
    <row r="870" ht="24.95" customHeight="1" x14ac:dyDescent="0.25"/>
    <row r="871" ht="24.95" customHeight="1" x14ac:dyDescent="0.25"/>
    <row r="872" ht="24.95" customHeight="1" x14ac:dyDescent="0.25"/>
    <row r="873" ht="24.95" customHeight="1" x14ac:dyDescent="0.25"/>
    <row r="874" ht="24.95" customHeight="1" x14ac:dyDescent="0.25"/>
    <row r="875" ht="24.95" customHeight="1" x14ac:dyDescent="0.25"/>
    <row r="876" ht="24.95" customHeight="1" x14ac:dyDescent="0.25"/>
    <row r="877" ht="24.95" customHeight="1" x14ac:dyDescent="0.25"/>
    <row r="878" ht="24.95" customHeight="1" x14ac:dyDescent="0.25"/>
    <row r="879" ht="24.95" customHeight="1" x14ac:dyDescent="0.25"/>
    <row r="880" ht="24.95" customHeight="1" x14ac:dyDescent="0.25"/>
    <row r="881" ht="24.95" customHeight="1" x14ac:dyDescent="0.25"/>
    <row r="882" ht="24.95" customHeight="1" x14ac:dyDescent="0.25"/>
    <row r="883" ht="24.95" customHeight="1" x14ac:dyDescent="0.25"/>
    <row r="884" ht="24.95" customHeight="1" x14ac:dyDescent="0.25"/>
    <row r="885" ht="24.95" customHeight="1" x14ac:dyDescent="0.25"/>
    <row r="886" ht="24.95" customHeight="1" x14ac:dyDescent="0.25"/>
    <row r="887" ht="24.95" customHeight="1" x14ac:dyDescent="0.25"/>
    <row r="888" ht="24.95" customHeight="1" x14ac:dyDescent="0.25"/>
    <row r="889" ht="24.95" customHeight="1" x14ac:dyDescent="0.25"/>
    <row r="890" ht="24.95" customHeight="1" x14ac:dyDescent="0.25"/>
    <row r="891" ht="24.95" customHeight="1" x14ac:dyDescent="0.25"/>
    <row r="892" ht="24.95" customHeight="1" x14ac:dyDescent="0.25"/>
    <row r="893" ht="24.95" customHeight="1" x14ac:dyDescent="0.25"/>
    <row r="894" ht="24.95" customHeight="1" x14ac:dyDescent="0.25"/>
    <row r="895" ht="24.95" customHeight="1" x14ac:dyDescent="0.25"/>
    <row r="896" ht="24.95" customHeight="1" x14ac:dyDescent="0.25"/>
    <row r="897" ht="24.95" customHeight="1" x14ac:dyDescent="0.25"/>
    <row r="898" ht="24.95" customHeight="1" x14ac:dyDescent="0.25"/>
    <row r="899" ht="24.95" customHeight="1" x14ac:dyDescent="0.25"/>
    <row r="900" ht="24.95" customHeight="1" x14ac:dyDescent="0.25"/>
    <row r="901" ht="24.95" customHeight="1" x14ac:dyDescent="0.25"/>
    <row r="902" ht="24.95" customHeight="1" x14ac:dyDescent="0.25"/>
    <row r="903" ht="24.95" customHeight="1" x14ac:dyDescent="0.25"/>
    <row r="904" ht="24.95" customHeight="1" x14ac:dyDescent="0.25"/>
    <row r="905" ht="24.95" customHeight="1" x14ac:dyDescent="0.25"/>
    <row r="906" ht="24.95" customHeight="1" x14ac:dyDescent="0.25"/>
    <row r="907" ht="24.95" customHeight="1" x14ac:dyDescent="0.25"/>
    <row r="908" ht="24.95" customHeight="1" x14ac:dyDescent="0.25"/>
    <row r="909" ht="24.95" customHeight="1" x14ac:dyDescent="0.25"/>
    <row r="910" ht="24.95" customHeight="1" x14ac:dyDescent="0.25"/>
    <row r="911" ht="24.95" customHeight="1" x14ac:dyDescent="0.25"/>
    <row r="912" ht="24.95" customHeight="1" x14ac:dyDescent="0.25"/>
    <row r="913" ht="24.95" customHeight="1" x14ac:dyDescent="0.25"/>
    <row r="914" ht="24.95" customHeight="1" x14ac:dyDescent="0.25"/>
    <row r="915" ht="24.95" customHeight="1" x14ac:dyDescent="0.25"/>
    <row r="916" ht="24.95" customHeight="1" x14ac:dyDescent="0.25"/>
    <row r="917" ht="24.95" customHeight="1" x14ac:dyDescent="0.25"/>
    <row r="918" ht="24.95" customHeight="1" x14ac:dyDescent="0.25"/>
    <row r="919" ht="24.95" customHeight="1" x14ac:dyDescent="0.25"/>
    <row r="920" ht="24.95" customHeight="1" x14ac:dyDescent="0.25"/>
    <row r="921" ht="24.95" customHeight="1" x14ac:dyDescent="0.25"/>
    <row r="922" ht="24.95" customHeight="1" x14ac:dyDescent="0.25"/>
    <row r="923" ht="24.95" customHeight="1" x14ac:dyDescent="0.25"/>
    <row r="924" ht="24.95" customHeight="1" x14ac:dyDescent="0.25"/>
    <row r="925" ht="24.95" customHeight="1" x14ac:dyDescent="0.25"/>
    <row r="926" ht="24.95" customHeight="1" x14ac:dyDescent="0.25"/>
    <row r="927" ht="24.95" customHeight="1" x14ac:dyDescent="0.25"/>
    <row r="928" ht="24.95" customHeight="1" x14ac:dyDescent="0.25"/>
    <row r="929" ht="24.95" customHeight="1" x14ac:dyDescent="0.25"/>
    <row r="930" ht="24.95" customHeight="1" x14ac:dyDescent="0.25"/>
    <row r="931" ht="24.95" customHeight="1" x14ac:dyDescent="0.25"/>
    <row r="932" ht="24.95" customHeight="1" x14ac:dyDescent="0.25"/>
    <row r="933" ht="24.95" customHeight="1" x14ac:dyDescent="0.25"/>
    <row r="934" ht="24.95" customHeight="1" x14ac:dyDescent="0.25"/>
    <row r="935" ht="24.95" customHeight="1" x14ac:dyDescent="0.25"/>
    <row r="936" ht="24.95" customHeight="1" x14ac:dyDescent="0.25"/>
    <row r="937" ht="24.95" customHeight="1" x14ac:dyDescent="0.25"/>
    <row r="938" ht="24.95" customHeight="1" x14ac:dyDescent="0.25"/>
    <row r="939" ht="24.95" customHeight="1" x14ac:dyDescent="0.25"/>
    <row r="940" ht="24.95" customHeight="1" x14ac:dyDescent="0.25"/>
    <row r="941" ht="24.95" customHeight="1" x14ac:dyDescent="0.25"/>
    <row r="942" ht="24.95" customHeight="1" x14ac:dyDescent="0.25"/>
    <row r="943" ht="24.95" customHeight="1" x14ac:dyDescent="0.25"/>
    <row r="944" ht="24.95" customHeight="1" x14ac:dyDescent="0.25"/>
    <row r="945" ht="24.95" customHeight="1" x14ac:dyDescent="0.25"/>
    <row r="946" ht="24.95" customHeight="1" x14ac:dyDescent="0.25"/>
    <row r="947" ht="24.95" customHeight="1" x14ac:dyDescent="0.25"/>
    <row r="948" ht="24.95" customHeight="1" x14ac:dyDescent="0.25"/>
    <row r="949" ht="24.95" customHeight="1" x14ac:dyDescent="0.25"/>
    <row r="950" ht="24.95" customHeight="1" x14ac:dyDescent="0.25"/>
    <row r="951" ht="24.95" customHeight="1" x14ac:dyDescent="0.25"/>
    <row r="952" ht="24.95" customHeight="1" x14ac:dyDescent="0.25"/>
    <row r="953" ht="24.95" customHeight="1" x14ac:dyDescent="0.25"/>
    <row r="954" ht="24.95" customHeight="1" x14ac:dyDescent="0.25"/>
    <row r="955" ht="24.95" customHeight="1" x14ac:dyDescent="0.25"/>
    <row r="956" ht="24.95" customHeight="1" x14ac:dyDescent="0.25"/>
    <row r="957" ht="24.95" customHeight="1" x14ac:dyDescent="0.25"/>
    <row r="958" ht="24.95" customHeight="1" x14ac:dyDescent="0.25"/>
    <row r="959" ht="24.95" customHeight="1" x14ac:dyDescent="0.25"/>
    <row r="960" ht="24.95" customHeight="1" x14ac:dyDescent="0.25"/>
    <row r="961" ht="24.95" customHeight="1" x14ac:dyDescent="0.25"/>
    <row r="962" ht="24.95" customHeight="1" x14ac:dyDescent="0.25"/>
    <row r="963" ht="24.95" customHeight="1" x14ac:dyDescent="0.25"/>
    <row r="964" ht="24.95" customHeight="1" x14ac:dyDescent="0.25"/>
    <row r="965" ht="24.95" customHeight="1" x14ac:dyDescent="0.25"/>
    <row r="966" ht="24.95" customHeight="1" x14ac:dyDescent="0.25"/>
    <row r="967" ht="24.95" customHeight="1" x14ac:dyDescent="0.25"/>
    <row r="968" ht="24.95" customHeight="1" x14ac:dyDescent="0.25"/>
    <row r="969" ht="24.95" customHeight="1" x14ac:dyDescent="0.25"/>
    <row r="970" ht="24.95" customHeight="1" x14ac:dyDescent="0.25"/>
    <row r="971" ht="24.95" customHeight="1" x14ac:dyDescent="0.25"/>
    <row r="972" ht="24.95" customHeight="1" x14ac:dyDescent="0.25"/>
    <row r="973" ht="24.95" customHeight="1" x14ac:dyDescent="0.25"/>
    <row r="974" ht="24.95" customHeight="1" x14ac:dyDescent="0.25"/>
    <row r="975" ht="24.95" customHeight="1" x14ac:dyDescent="0.25"/>
    <row r="976" ht="24.95" customHeight="1" x14ac:dyDescent="0.25"/>
    <row r="977" ht="24.95" customHeight="1" x14ac:dyDescent="0.25"/>
    <row r="978" ht="24.95" customHeight="1" x14ac:dyDescent="0.25"/>
    <row r="979" ht="24.95" customHeight="1" x14ac:dyDescent="0.25"/>
    <row r="980" ht="24.95" customHeight="1" x14ac:dyDescent="0.25"/>
    <row r="981" ht="24.95" customHeight="1" x14ac:dyDescent="0.25"/>
    <row r="982" ht="24.95" customHeight="1" x14ac:dyDescent="0.25"/>
    <row r="983" ht="24.95" customHeight="1" x14ac:dyDescent="0.25"/>
    <row r="984" ht="24.95" customHeight="1" x14ac:dyDescent="0.25"/>
    <row r="985" ht="24.95" customHeight="1" x14ac:dyDescent="0.25"/>
    <row r="986" ht="24.95" customHeight="1" x14ac:dyDescent="0.25"/>
    <row r="987" ht="24.95" customHeight="1" x14ac:dyDescent="0.25"/>
    <row r="988" ht="24.95" customHeight="1" x14ac:dyDescent="0.25"/>
    <row r="989" ht="24.95" customHeight="1" x14ac:dyDescent="0.25"/>
    <row r="990" ht="24.95" customHeight="1" x14ac:dyDescent="0.25"/>
    <row r="991" ht="24.95" customHeight="1" x14ac:dyDescent="0.25"/>
    <row r="992" ht="24.95" customHeight="1" x14ac:dyDescent="0.25"/>
    <row r="993" ht="24.95" customHeight="1" x14ac:dyDescent="0.25"/>
    <row r="994" ht="24.95" customHeight="1" x14ac:dyDescent="0.25"/>
    <row r="995" ht="24.95" customHeight="1" x14ac:dyDescent="0.25"/>
    <row r="996" ht="24.95" customHeight="1" x14ac:dyDescent="0.25"/>
    <row r="997" ht="24.95" customHeight="1" x14ac:dyDescent="0.25"/>
    <row r="998" ht="24.95" customHeight="1" x14ac:dyDescent="0.25"/>
    <row r="999" ht="24.95" customHeight="1" x14ac:dyDescent="0.25"/>
    <row r="1000" ht="24.95" customHeight="1" x14ac:dyDescent="0.25"/>
    <row r="1001" ht="24.95" customHeight="1" x14ac:dyDescent="0.25"/>
  </sheetData>
  <autoFilter ref="B1:GM1" xr:uid="{00000000-0009-0000-0000-000007000000}">
    <sortState xmlns:xlrd2="http://schemas.microsoft.com/office/spreadsheetml/2017/richdata2" ref="B2:GM11">
      <sortCondition ref="B1"/>
    </sortState>
  </autoFilter>
  <phoneticPr fontId="53" type="noConversion"/>
  <conditionalFormatting sqref="CK1:CK1048576">
    <cfRule type="iconSet" priority="32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1:CL1048576">
    <cfRule type="colorScale" priority="7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1:CM1048576">
    <cfRule type="iconSet" priority="32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7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N1:CN1048576">
    <cfRule type="colorScale" priority="7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O1:CO1048576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">
    <cfRule type="colorScale" priority="7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">
    <cfRule type="colorScale" priority="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">
    <cfRule type="colorScale" priority="7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V1:CV1048576">
    <cfRule type="iconSet" priority="323">
      <iconSet iconSet="3Arrows">
        <cfvo type="percent" val="0"/>
        <cfvo type="percent" val="33"/>
        <cfvo type="percent" val="67"/>
      </iconSet>
    </cfRule>
    <cfRule type="colorScale" priority="6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U1048576">
    <cfRule type="colorScale" priority="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U1:CU1048576">
    <cfRule type="iconSet" priority="324">
      <iconSet iconSet="3Arrows">
        <cfvo type="percent" val="0"/>
        <cfvo type="percent" val="33"/>
        <cfvo type="percent" val="67"/>
      </iconSet>
    </cfRule>
    <cfRule type="colorScale" priority="6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1:CT1048576">
    <cfRule type="colorScale" priority="6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S1:CS1048576"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048576">
    <cfRule type="iconSet" priority="330">
      <iconSet iconSet="3Arrows">
        <cfvo type="percent" val="0"/>
        <cfvo type="percent" val="33"/>
        <cfvo type="percent" val="67"/>
      </iconSet>
    </cfRule>
    <cfRule type="colorScale" priority="6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iconSet" priority="99">
      <iconSet iconSet="3ArrowsGray">
        <cfvo type="percent" val="0"/>
        <cfvo type="percent" val="33"/>
        <cfvo type="percent" val="67"/>
      </iconSet>
    </cfRule>
    <cfRule type="colorScale" priority="411">
      <colorScale>
        <cfvo type="min"/>
        <cfvo type="percentile" val="50"/>
        <cfvo type="max"/>
        <color theme="4" tint="0.79998168889431442"/>
        <color theme="4" tint="0.39997558519241921"/>
        <color rgb="FF0085B4"/>
      </colorScale>
    </cfRule>
  </conditionalFormatting>
  <conditionalFormatting sqref="BU1:BV1048576"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T1048576"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A1:CA1048576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AZ1048576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AZ1048576">
    <cfRule type="iconSet" priority="29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1">
    <cfRule type="colorScale" priority="633">
      <colorScale>
        <cfvo type="num" val="0"/>
        <cfvo type="num" val="31"/>
        <cfvo type="num" val="32"/>
        <color theme="7" tint="0.79998168889431442"/>
        <color rgb="FFFFEB84"/>
        <color rgb="FFFF0000"/>
      </colorScale>
    </cfRule>
  </conditionalFormatting>
  <conditionalFormatting sqref="H1">
    <cfRule type="colorScale" priority="6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:DE1048576">
    <cfRule type="colorScale" priority="5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D1:DD1048576">
    <cfRule type="iconSet" priority="29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:DE1048576"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E1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">
    <cfRule type="colorScale" priority="555">
      <colorScale>
        <cfvo type="min"/>
        <cfvo type="max"/>
        <color rgb="FFFFEF9C"/>
        <color rgb="FF63BE7B"/>
      </colorScale>
    </cfRule>
    <cfRule type="colorScale" priority="5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291">
      <colorScale>
        <cfvo type="percent" val="39.999000000000002"/>
        <cfvo type="percentile" val="49.999899999999997"/>
        <cfvo type="percent" val="50"/>
        <color rgb="FFF8696B"/>
        <color rgb="FFFFEB84"/>
        <color rgb="FF63BE7B"/>
      </colorScale>
    </cfRule>
    <cfRule type="iconSet" priority="321">
      <iconSet iconSet="5Arrows">
        <cfvo type="percent" val="0"/>
        <cfvo type="percent" val="39.99"/>
        <cfvo type="percent" val="40"/>
        <cfvo type="percent" val="45"/>
        <cfvo type="percent" val="50"/>
      </iconSet>
    </cfRule>
  </conditionalFormatting>
  <conditionalFormatting sqref="CW1:CW1048576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:Y1048576">
    <cfRule type="dataBar" priority="2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{E535262B-D53E-42C8-9D2C-16F197CDE5FD}</x14:id>
        </ext>
      </extLst>
    </cfRule>
    <cfRule type="colorScale" priority="467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Z1:Z1048576">
    <cfRule type="dataBar" priority="2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{F4307ECE-DDFB-4EED-8CCD-5828CE10257A}</x14:id>
        </ext>
      </extLst>
    </cfRule>
    <cfRule type="colorScale" priority="466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A1:AA1048576">
    <cfRule type="dataBar" priority="2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{EC63933C-443B-4657-A399-F99D38004296}</x14:id>
        </ext>
      </extLst>
    </cfRule>
    <cfRule type="colorScale" priority="465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B1:AB1048576">
    <cfRule type="dataBar" priority="3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{0BA079DB-7021-4E66-B11E-668B4097DCC9}</x14:id>
        </ext>
      </extLst>
    </cfRule>
    <cfRule type="colorScale" priority="464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AC1:AC1048576">
    <cfRule type="dataBar" priority="3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{139F3135-4876-475D-B8CB-4675C9108B0A}</x14:id>
        </ext>
      </extLst>
    </cfRule>
    <cfRule type="colorScale" priority="46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BZ1:BZ1048576">
    <cfRule type="iconSet" priority="381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Y1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Y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colorScale" priority="428">
      <colorScale>
        <cfvo type="min"/>
        <cfvo type="max"/>
        <color rgb="FFFCFCFF"/>
        <color rgb="FFF8696B"/>
      </colorScale>
    </cfRule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B1048576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iconSet" priority="333">
      <iconSet iconSet="3Arrows">
        <cfvo type="percent" val="0"/>
        <cfvo type="percent" val="33"/>
        <cfvo type="percent" val="67"/>
      </iconSet>
    </cfRule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iconSet" priority="334">
      <iconSet iconSet="3Arrows">
        <cfvo type="percent" val="0"/>
        <cfvo type="percent" val="33"/>
        <cfvo type="percent" val="67"/>
      </iconSet>
    </cfRule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iconSet" priority="30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iconSet" priority="3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38">
      <iconSet iconSet="3Arrows">
        <cfvo type="percent" val="0"/>
        <cfvo type="percent" val="33"/>
        <cfvo type="percent" val="67"/>
      </iconSet>
    </cfRule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iconSet" priority="31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iconSet" priority="337">
      <iconSet iconSet="3Arrows">
        <cfvo type="percent" val="0"/>
        <cfvo type="percent" val="33"/>
        <cfvo type="percent" val="67"/>
      </iconSet>
    </cfRule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iconSet" priority="315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390">
      <colorScale>
        <cfvo type="min"/>
        <cfvo type="percentile" val="50"/>
        <cfvo type="max"/>
        <color theme="4" tint="0.79998168889431442"/>
        <color theme="4" tint="0.39997558519241921"/>
        <color rgb="FF0085B4"/>
      </colorScale>
    </cfRule>
  </conditionalFormatting>
  <conditionalFormatting sqref="BX1:BX1048576">
    <cfRule type="iconSet" priority="38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:BY1048576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1:DI1048576">
    <cfRule type="iconSet" priority="348">
      <iconSet iconSet="3Arrows">
        <cfvo type="percent" val="0"/>
        <cfvo type="percent" val="33"/>
        <cfvo type="percent" val="67"/>
      </iconSet>
    </cfRule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:DH1048576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2:DT1048576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1">
    <cfRule type="iconSet" priority="362">
      <iconSet iconSet="4Arrows" reverse="1">
        <cfvo type="percent" val="0"/>
        <cfvo type="percent" val="25"/>
        <cfvo type="percent" val="50"/>
        <cfvo type="percent" val="75"/>
      </iconSet>
    </cfRule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T1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  <cfRule type="iconSet" priority="359">
      <iconSet iconSet="3Arrows" reverse="1">
        <cfvo type="percent" val="0"/>
        <cfvo type="percent" val="33"/>
        <cfvo type="percent" val="67"/>
      </iconSet>
    </cfRule>
  </conditionalFormatting>
  <conditionalFormatting sqref="DT1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048576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:AV1048576">
    <cfRule type="iconSet" priority="28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iconSet" priority="28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279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82">
      <iconSet iconSet="3ArrowsGray">
        <cfvo type="percent" val="0"/>
        <cfvo type="percent" val="33"/>
        <cfvo type="percent" val="67"/>
      </iconSet>
    </cfRule>
  </conditionalFormatting>
  <conditionalFormatting sqref="O1:O1048576">
    <cfRule type="colorScale" priority="278">
      <colorScale>
        <cfvo type="min"/>
        <cfvo type="percentile" val="50"/>
        <cfvo type="max"/>
        <color theme="5" tint="-0.249977111117893"/>
        <color theme="5" tint="0.39997558519241921"/>
        <color theme="5" tint="0.79998168889431442"/>
      </colorScale>
    </cfRule>
    <cfRule type="iconSet" priority="281">
      <iconSet iconSet="3ArrowsGray" reverse="1">
        <cfvo type="percent" val="0"/>
        <cfvo type="percent" val="33"/>
        <cfvo type="percent" val="67"/>
      </iconSet>
    </cfRule>
  </conditionalFormatting>
  <conditionalFormatting sqref="P1:P1048576">
    <cfRule type="colorScale" priority="276">
      <colorScale>
        <cfvo type="min"/>
        <cfvo type="percentile" val="50"/>
        <cfvo type="max"/>
        <color theme="5" tint="0.79998168889431442"/>
        <color theme="5" tint="0.39997558519241921"/>
        <color theme="5" tint="-0.249977111117893"/>
      </colorScale>
    </cfRule>
    <cfRule type="iconSet" priority="280">
      <iconSet iconSet="3ArrowsGray">
        <cfvo type="percent" val="0"/>
        <cfvo type="percent" val="33"/>
        <cfvo type="percent" val="67"/>
      </iconSet>
    </cfRule>
  </conditionalFormatting>
  <conditionalFormatting sqref="EF1:EF1048576">
    <cfRule type="iconSet" priority="26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E1:EE1048576">
    <cfRule type="iconSet" priority="199">
      <iconSet iconSet="3Arrows" reverse="1">
        <cfvo type="percent" val="0"/>
        <cfvo type="percent" val="33"/>
        <cfvo type="percent" val="67"/>
      </iconSet>
    </cfRule>
    <cfRule type="colorScale" priority="242">
      <colorScale>
        <cfvo type="min"/>
        <cfvo type="max"/>
        <color rgb="FFFCFCFF"/>
        <color rgb="FFF8696B"/>
      </colorScale>
    </cfRule>
  </conditionalFormatting>
  <conditionalFormatting sqref="DX1:DX1048576">
    <cfRule type="dataBar" priority="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{306DA4D5-2BC7-43F0-895F-AB55DD738C9F}</x14:id>
        </ext>
      </extLst>
    </cfRule>
    <cfRule type="colorScale" priority="261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EC1:EC1048576">
    <cfRule type="iconSet" priority="250">
      <iconSet iconSet="3Arrows" reverse="1">
        <cfvo type="percent" val="0"/>
        <cfvo type="percent" val="33"/>
        <cfvo type="percent" val="67"/>
      </iconSet>
    </cfRule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1:ED1048576">
    <cfRule type="iconSet" priority="249">
      <iconSet iconSet="3Arrows" reverse="1">
        <cfvo type="percent" val="0"/>
        <cfvo type="percent" val="33"/>
        <cfvo type="percent" val="67"/>
      </iconSet>
    </cfRule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:DF1048576">
    <cfRule type="colorScale" priority="2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G1:DG1048576">
    <cfRule type="colorScale" priority="2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Z1:CZ1048576">
    <cfRule type="iconSet" priority="236">
      <iconSet iconSet="3Arrows">
        <cfvo type="percent" val="0"/>
        <cfvo type="percent" val="33"/>
        <cfvo type="percent" val="67"/>
      </iconSet>
    </cfRule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A1:DA1048576">
    <cfRule type="iconSet" priority="232">
      <iconSet iconSet="3Arrows">
        <cfvo type="percent" val="0"/>
        <cfvo type="percent" val="33"/>
        <cfvo type="percent" val="67"/>
      </iconSet>
    </cfRule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B1:DB1048576">
    <cfRule type="iconSet" priority="228">
      <iconSet iconSet="3Arrows">
        <cfvo type="percent" val="0"/>
        <cfvo type="percent" val="33"/>
        <cfvo type="percent" val="67"/>
      </iconSet>
    </cfRule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C1:DC1048576">
    <cfRule type="iconSet" priority="229">
      <iconSet iconSet="3Arrows">
        <cfvo type="percent" val="0"/>
        <cfvo type="percent" val="33"/>
        <cfvo type="percent" val="67"/>
      </iconSet>
    </cfRule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220">
      <colorScale>
        <cfvo type="min"/>
        <cfvo type="max"/>
        <color rgb="FFFFEF9C"/>
        <color rgb="FF63BE7B"/>
      </colorScale>
    </cfRule>
  </conditionalFormatting>
  <conditionalFormatting sqref="K1:K1048576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{2B53CF0C-FF8D-4FB2-AA45-1DFB9C9EE3C4}</x14:id>
        </ext>
      </extLst>
    </cfRule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U1:DU1048576">
    <cfRule type="colorScale" priority="203">
      <colorScale>
        <cfvo type="min"/>
        <cfvo type="max"/>
        <color rgb="FFFFEF9C"/>
        <color rgb="FF63BE7B"/>
      </colorScale>
    </cfRule>
  </conditionalFormatting>
  <conditionalFormatting sqref="DV1:DV1048576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W1:DW1048576">
    <cfRule type="iconSet" priority="200">
      <iconSet iconSet="3Arrows">
        <cfvo type="percent" val="0"/>
        <cfvo type="percent" val="33"/>
        <cfvo type="percent" val="67"/>
      </iconSet>
    </cfRule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Y1:DY1048576">
    <cfRule type="dataBar" priority="183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{54C7EF68-0AE8-41C9-896E-D9EE0D5F8E4A}</x14:id>
        </ext>
      </extLst>
    </cfRule>
    <cfRule type="colorScale" priority="184">
      <colorScale>
        <cfvo type="min"/>
        <cfvo type="percentile" val="50"/>
        <cfvo type="max"/>
        <color rgb="FFF8696B"/>
        <color theme="4" tint="0.59999389629810485"/>
        <color rgb="FF00B0F0"/>
      </colorScale>
    </cfRule>
  </conditionalFormatting>
  <conditionalFormatting sqref="DZ1">
    <cfRule type="dataBar" priority="181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{7534BBED-DCC0-4DE9-8ABA-B8AA32E7A685}</x14:id>
        </ext>
      </extLst>
    </cfRule>
    <cfRule type="iconSet" priority="182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A1:EA1048576">
    <cfRule type="iconSet" priority="17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B1:EB1048576">
    <cfRule type="iconSet" priority="17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{2D350DD9-2F9F-44A1-BBBD-7680AA84A7E2}</x14:id>
        </ext>
      </extLst>
    </cfRule>
    <cfRule type="iconSet" priority="146">
      <iconSet iconSet="3ArrowsGray">
        <cfvo type="percent" val="0"/>
        <cfvo type="percent" val="33"/>
        <cfvo type="percent" val="67"/>
      </iconSet>
    </cfRule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{202C4C10-8114-4B20-9F5A-ACA27CC701FC}</x14:id>
        </ext>
      </extLst>
    </cfRule>
    <cfRule type="iconSet" priority="145">
      <iconSet iconSet="3ArrowsGray">
        <cfvo type="percent" val="0"/>
        <cfvo type="percent" val="33"/>
        <cfvo type="percent" val="67"/>
      </iconSet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{13F6D464-159B-43BD-8153-4AE107642D22}</x14:id>
        </ext>
      </extLst>
    </cfRule>
    <cfRule type="iconSet" priority="14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55">
      <colorScale>
        <cfvo type="min"/>
        <cfvo type="max"/>
        <color rgb="FFFFEF9C"/>
        <color rgb="FF63BE7B"/>
      </colorScale>
    </cfRule>
  </conditionalFormatting>
  <conditionalFormatting sqref="T1:T1048576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{C7B3FE09-BE37-45F9-9D75-66FC24ADAD0A}</x14:id>
        </ext>
      </extLst>
    </cfRule>
    <cfRule type="iconSet" priority="144">
      <iconSet iconSet="3ArrowsGray">
        <cfvo type="percent" val="0"/>
        <cfvo type="percent" val="33"/>
        <cfvo type="percent" val="67"/>
      </iconSet>
    </cfRule>
    <cfRule type="colorScale" priority="154">
      <colorScale>
        <cfvo type="min"/>
        <cfvo type="max"/>
        <color rgb="FFFFEF9C"/>
        <color rgb="FF63BE7B"/>
      </colorScale>
    </cfRule>
  </conditionalFormatting>
  <conditionalFormatting sqref="U1:U104857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{CB11ED99-0583-4502-B023-9104B76DD1A5}</x14:id>
        </ext>
      </extLst>
    </cfRule>
    <cfRule type="iconSet" priority="143">
      <iconSet iconSet="3ArrowsGray">
        <cfvo type="percent" val="0"/>
        <cfvo type="percent" val="33"/>
        <cfvo type="percent" val="67"/>
      </iconSet>
    </cfRule>
    <cfRule type="colorScale" priority="150">
      <colorScale>
        <cfvo type="min"/>
        <cfvo type="max"/>
        <color rgb="FFFFEF9C"/>
        <color rgb="FF63BE7B"/>
      </colorScale>
    </cfRule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1048576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{74BE4E89-FC0F-462A-9D04-6C26434AC10A}</x14:id>
        </ext>
      </extLst>
    </cfRule>
    <cfRule type="iconSet" priority="14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G1:EG1048576">
    <cfRule type="iconSet" priority="135">
      <iconSet iconSet="3Arrows">
        <cfvo type="percent" val="0"/>
        <cfvo type="num" val="6.7"/>
        <cfvo type="num" val="7"/>
      </iconSet>
    </cfRule>
    <cfRule type="colorScale" priority="136">
      <colorScale>
        <cfvo type="num" val="6.5"/>
        <cfvo type="num" val="6.7"/>
        <cfvo type="num" val="7"/>
        <color rgb="FFF8696B"/>
        <color rgb="FFFFEB84"/>
        <color rgb="FF63BE7B"/>
      </colorScale>
    </cfRule>
  </conditionalFormatting>
  <conditionalFormatting sqref="DJ1:DJ1048576">
    <cfRule type="iconSet" priority="117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K1:DK1048576">
    <cfRule type="iconSet" priority="109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L1:DL1048576">
    <cfRule type="iconSet" priority="10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M1:DM1048576">
    <cfRule type="iconSet" priority="107">
      <iconSet iconSet="3Arrows" reverse="1">
        <cfvo type="percent" val="0"/>
        <cfvo type="percent" val="33"/>
        <cfvo type="percent" val="67"/>
      </iconSet>
    </cfRule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:DN104857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O1:DO1048576">
    <cfRule type="colorScale" priority="112">
      <colorScale>
        <cfvo type="num" val="-1"/>
        <cfvo type="num" val="0"/>
        <cfvo type="max"/>
        <color rgb="FF63BE7B"/>
        <color rgb="FFFFEB84"/>
        <color rgb="FFF8696B"/>
      </colorScale>
    </cfRule>
  </conditionalFormatting>
  <conditionalFormatting sqref="BF1:BF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iconSet" priority="102">
      <iconSet iconSet="3Arrows">
        <cfvo type="percent" val="0"/>
        <cfvo type="percent" val="33"/>
        <cfvo type="percent" val="67"/>
      </iconSet>
    </cfRule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iconSet" priority="100">
      <iconSet iconSet="3Arrows">
        <cfvo type="percent" val="0"/>
        <cfvo type="percent" val="33"/>
        <cfvo type="percent" val="67"/>
      </iconSet>
    </cfRule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P1:CP1048576">
    <cfRule type="colorScale" priority="98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CQ1:CQ1048576">
    <cfRule type="colorScale" priority="97">
      <colorScale>
        <cfvo type="min"/>
        <cfvo type="percentile" val="50"/>
        <cfvo type="max"/>
        <color rgb="FFF4B084"/>
        <color rgb="FFF08E52"/>
        <color rgb="FFEC7328"/>
      </colorScale>
    </cfRule>
  </conditionalFormatting>
  <conditionalFormatting sqref="F1:F1048576">
    <cfRule type="colorScale" priority="94">
      <colorScale>
        <cfvo type="num" val="15"/>
        <cfvo type="num" val="25"/>
        <cfvo type="num" val="32"/>
        <color rgb="FF63BE7B"/>
        <color rgb="FFFFEB84"/>
        <color rgb="FFF8696B"/>
      </colorScale>
    </cfRule>
  </conditionalFormatting>
  <conditionalFormatting sqref="DP1:DP1048576">
    <cfRule type="dataBar" priority="9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{4F61216A-9890-4A3F-AD3A-3D7959352007}</x14:id>
        </ext>
      </extLst>
    </cfRule>
    <cfRule type="colorScale" priority="93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DQ1:DQ1048576">
    <cfRule type="colorScale" priority="89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DR1:DR1048576">
    <cfRule type="colorScale" priority="87">
      <colorScale>
        <cfvo type="min"/>
        <cfvo type="percentile" val="50"/>
        <cfvo type="max"/>
        <color rgb="FFF8696B"/>
        <color rgb="FF9BC2E6"/>
        <color rgb="FF2F75B5"/>
      </colorScale>
    </cfRule>
  </conditionalFormatting>
  <conditionalFormatting sqref="DS1:DS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1:BO1048576">
    <cfRule type="colorScale" priority="85">
      <colorScale>
        <cfvo type="num" val="-9.9999999999999995E-8"/>
        <cfvo type="num" val="0"/>
        <cfvo type="max"/>
        <color rgb="FFF8696B"/>
        <color rgb="FFFFEB84"/>
        <color rgb="FF63BE7B"/>
      </colorScale>
    </cfRule>
  </conditionalFormatting>
  <conditionalFormatting sqref="BG1:BG1048576">
    <cfRule type="iconSet" priority="78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80">
      <colorScale>
        <cfvo type="min"/>
        <cfvo type="max"/>
        <color rgb="FFFCFCFF"/>
        <color rgb="FFF8696B"/>
      </colorScale>
    </cfRule>
  </conditionalFormatting>
  <conditionalFormatting sqref="BH1:BH1048576">
    <cfRule type="iconSet" priority="7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79">
      <colorScale>
        <cfvo type="min"/>
        <cfvo type="max"/>
        <color rgb="FFFCFCFF"/>
        <color rgb="FFF8696B"/>
      </colorScale>
    </cfRule>
  </conditionalFormatting>
  <conditionalFormatting sqref="BI1:BI1048576">
    <cfRule type="colorScale" priority="72">
      <colorScale>
        <cfvo type="min"/>
        <cfvo type="max"/>
        <color rgb="FFFCFCFF"/>
        <color rgb="FFF8696B"/>
      </colorScale>
    </cfRule>
  </conditionalFormatting>
  <conditionalFormatting sqref="BJ1:BJ1048576">
    <cfRule type="iconSet" priority="66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71">
      <colorScale>
        <cfvo type="min"/>
        <cfvo type="max"/>
        <color rgb="FFFCFCFF"/>
        <color rgb="FFF8696B"/>
      </colorScale>
    </cfRule>
  </conditionalFormatting>
  <conditionalFormatting sqref="BK1:BK1048576">
    <cfRule type="colorScale" priority="70">
      <colorScale>
        <cfvo type="min"/>
        <cfvo type="max"/>
        <color rgb="FFFCFCFF"/>
        <color rgb="FFF8696B"/>
      </colorScale>
    </cfRule>
  </conditionalFormatting>
  <conditionalFormatting sqref="BL1:BL1048576">
    <cfRule type="iconSet" priority="6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9">
      <colorScale>
        <cfvo type="min"/>
        <cfvo type="max"/>
        <color rgb="FFFCFCFF"/>
        <color rgb="FFF8696B"/>
      </colorScale>
    </cfRule>
  </conditionalFormatting>
  <conditionalFormatting sqref="BN1:BN1048576">
    <cfRule type="iconSet" priority="67">
      <iconSet iconSet="5Arrows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68">
      <colorScale>
        <cfvo type="min"/>
        <cfvo type="max"/>
        <color rgb="FFFCFCFF"/>
        <color rgb="FFF8696B"/>
      </colorScale>
    </cfRule>
  </conditionalFormatting>
  <conditionalFormatting sqref="BM1:BM1048576">
    <cfRule type="colorScale" priority="64">
      <colorScale>
        <cfvo type="min"/>
        <cfvo type="max"/>
        <color rgb="FFFCFCFF"/>
        <color rgb="FFF8696B"/>
      </colorScale>
    </cfRule>
  </conditionalFormatting>
  <conditionalFormatting sqref="AD1:AD1048576">
    <cfRule type="iconSet" priority="58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iconSet" priority="56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:AH1048576">
    <cfRule type="iconSet" priority="54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1:AI1048576">
    <cfRule type="iconSet" priority="5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:AJ1048576">
    <cfRule type="iconSet" priority="50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:AK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:AP1048576">
    <cfRule type="iconSet" priority="4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:AQ1048576">
    <cfRule type="iconSet" priority="4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:AR1048576">
    <cfRule type="iconSet" priority="33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5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AS1:AS1048576">
    <cfRule type="iconSet" priority="32">
      <iconSet iconSet="5Arrows">
        <cfvo type="percent" val="0"/>
        <cfvo type="percent" val="20"/>
        <cfvo type="percent" val="40"/>
        <cfvo type="percent" val="60"/>
        <cfvo type="percent" val="80"/>
      </iconSet>
    </cfRule>
    <cfRule type="colorScale" priority="34">
      <colorScale>
        <cfvo type="num" val="-9.9999999999999995E-7"/>
        <cfvo type="num" val="0"/>
        <cfvo type="max"/>
        <color rgb="FFF8696B"/>
        <color theme="7" tint="0.59999389629810485"/>
        <color rgb="FF00B0F0"/>
      </colorScale>
    </cfRule>
  </conditionalFormatting>
  <conditionalFormatting sqref="W1:W1048576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{C22CB69F-8AFA-469D-867B-EBB7505D7AE7}</x14:id>
        </ext>
      </extLst>
    </cfRule>
    <cfRule type="colorScale" priority="31">
      <colorScale>
        <cfvo type="min"/>
        <cfvo type="percentile" val="50"/>
        <cfvo type="max"/>
        <color rgb="FFF8696B"/>
        <color theme="6" tint="0.79998168889431442"/>
        <color rgb="FF00B0F0"/>
      </colorScale>
    </cfRule>
  </conditionalFormatting>
  <conditionalFormatting sqref="X1:X1048576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{816D13F8-AAB9-4A33-B99E-DDD60221E945}</x14:id>
        </ext>
      </extLst>
    </cfRule>
    <cfRule type="colorScale" priority="30">
      <colorScale>
        <cfvo type="min"/>
        <cfvo type="percentile" val="50"/>
        <cfvo type="max"/>
        <color rgb="FFF8696B"/>
        <color theme="4" tint="0.79998168889431442"/>
        <color rgb="FF00B0F0"/>
      </colorScale>
    </cfRule>
  </conditionalFormatting>
  <conditionalFormatting sqref="CF1:CF1048576">
    <cfRule type="dataBar" priority="29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{FF1729FC-947B-46DA-B287-7C50BDD74C87}</x14:id>
        </ext>
      </extLst>
    </cfRule>
  </conditionalFormatting>
  <conditionalFormatting sqref="CB1:CB1048576">
    <cfRule type="dataBar" priority="28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{43F72FDF-6FDF-495B-8D8B-55D6F0008837}</x14:id>
        </ext>
      </extLst>
    </cfRule>
  </conditionalFormatting>
  <conditionalFormatting sqref="CC1:CC1048576">
    <cfRule type="dataBar" priority="27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{F71E2755-10B1-447B-BB5D-E45FC9F02155}</x14:id>
        </ext>
      </extLst>
    </cfRule>
  </conditionalFormatting>
  <conditionalFormatting sqref="CD1:CD1048576">
    <cfRule type="dataBar" priority="2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{FA68727A-294D-464F-830A-5B3B62746130}</x14:id>
        </ext>
      </extLst>
    </cfRule>
  </conditionalFormatting>
  <conditionalFormatting sqref="CE1:CE1048576">
    <cfRule type="dataBar" priority="2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{7D5D4EAA-D7BF-4F8D-ABCF-D193C6E98634}</x14:id>
        </ext>
      </extLst>
    </cfRule>
  </conditionalFormatting>
  <conditionalFormatting sqref="CJ1:CJ1048576">
    <cfRule type="dataBar" priority="24">
      <dataBar>
        <cfvo type="min"/>
        <cfvo type="max"/>
        <color rgb="FF007A37"/>
      </dataBar>
      <extLst>
        <ext xmlns:x14="http://schemas.microsoft.com/office/spreadsheetml/2009/9/main" uri="{B025F937-C7B1-47D3-B67F-A62EFF666E3E}">
          <x14:id>{738BD825-FB36-434C-86CA-0E89EE02E3C6}</x14:id>
        </ext>
      </extLst>
    </cfRule>
  </conditionalFormatting>
  <conditionalFormatting sqref="CI1:CI1048576">
    <cfRule type="dataBar" priority="23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{9C7E29E8-54C5-44D9-BC5C-FD9EB8BE75B4}</x14:id>
        </ext>
      </extLst>
    </cfRule>
  </conditionalFormatting>
  <conditionalFormatting sqref="CG1:CG1048576">
    <cfRule type="dataBar" priority="22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{4BF6CCD0-4735-4DD5-BDB2-6310B12B08DE}</x14:id>
        </ext>
      </extLst>
    </cfRule>
  </conditionalFormatting>
  <conditionalFormatting sqref="CH1:CH1048576">
    <cfRule type="dataBar" priority="21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{7BB6B725-CD90-471A-A87E-12337C8B224E}</x14:id>
        </ext>
      </extLst>
    </cfRule>
  </conditionalFormatting>
  <conditionalFormatting sqref="BC1:BC1048576">
    <cfRule type="colorScale" priority="2452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X1:CX1048576">
    <cfRule type="dataBar" priority="16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{C54DB846-AC6C-4F1D-AB97-B3A6F192CA81}</x14:id>
        </ext>
      </extLst>
    </cfRule>
  </conditionalFormatting>
  <conditionalFormatting sqref="CY1:CY1048576">
    <cfRule type="dataBar" priority="15">
      <dataBar>
        <cfvo type="min"/>
        <cfvo type="max"/>
        <color rgb="FFAD1457"/>
      </dataBar>
      <extLst>
        <ext xmlns:x14="http://schemas.microsoft.com/office/spreadsheetml/2009/9/main" uri="{B025F937-C7B1-47D3-B67F-A62EFF666E3E}">
          <x14:id>{88120B67-3E32-440F-BB7F-A0286DBBDB8B}</x14:id>
        </ext>
      </extLst>
    </cfRule>
  </conditionalFormatting>
  <conditionalFormatting sqref="G1:G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iconSet" priority="1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12">
      <colorScale>
        <cfvo type="min"/>
        <cfvo type="max"/>
        <color rgb="FFFDD7D8"/>
        <color rgb="FFF8696B"/>
      </colorScale>
    </cfRule>
  </conditionalFormatting>
  <conditionalFormatting sqref="AU1:AU1048576">
    <cfRule type="colorScale" priority="9">
      <colorScale>
        <cfvo type="min"/>
        <cfvo type="max"/>
        <color rgb="FFFDD7D8"/>
        <color rgb="FFF8696B"/>
      </colorScale>
    </cfRule>
    <cfRule type="iconSet" priority="10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AF1:AF1048576">
    <cfRule type="iconSet" priority="6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8">
      <colorScale>
        <cfvo type="min"/>
        <cfvo type="max"/>
        <color rgb="FFFDD7D8"/>
        <color rgb="FFF8696B"/>
      </colorScale>
    </cfRule>
  </conditionalFormatting>
  <conditionalFormatting sqref="AG1:AG1048576">
    <cfRule type="iconSet" priority="5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7">
      <colorScale>
        <cfvo type="min"/>
        <cfvo type="max"/>
        <color rgb="FFFDD7D8"/>
        <color rgb="FFF8696B"/>
      </colorScale>
    </cfRule>
  </conditionalFormatting>
  <conditionalFormatting sqref="BD1:BD1048576">
    <cfRule type="iconSet" priority="2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BE1:BE1048576">
    <cfRule type="iconSet" priority="1">
      <iconSet iconSet="5ArrowsGray" reverse="1">
        <cfvo type="percent" val="0"/>
        <cfvo type="percent" val="20"/>
        <cfvo type="percent" val="40"/>
        <cfvo type="percent" val="60"/>
        <cfvo type="percent" val="80"/>
      </iconSet>
    </cfRule>
    <cfRule type="colorScale" priority="3">
      <colorScale>
        <cfvo type="min"/>
        <cfvo type="max"/>
        <color rgb="FFFCFCFF"/>
        <color rgb="FFF8696B"/>
      </colorScale>
    </cfRule>
  </conditionalFormatting>
  <conditionalFormatting sqref="DS12:DT1048576 AZ2:AZ1048576">
    <cfRule type="colorScale" priority="2611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S12:DT1048576">
    <cfRule type="colorScale" priority="26116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11667">
      <colorScale>
        <cfvo type="min"/>
        <cfvo type="max"/>
        <color rgb="FFFFEF9C"/>
        <color rgb="FF63BE7B"/>
      </colorScale>
    </cfRule>
  </conditionalFormatting>
  <conditionalFormatting sqref="DI12:DI1048576">
    <cfRule type="colorScale" priority="261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S12:DT1048576">
    <cfRule type="colorScale" priority="26116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12:DH1048576">
    <cfRule type="colorScale" priority="2611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2:BX1048576 BX1">
    <cfRule type="colorScale" priority="2611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12:BY1048576 BY1">
    <cfRule type="colorScale" priority="2611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M2:CM11">
    <cfRule type="colorScale" priority="2643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1">
    <cfRule type="colorScale" priority="2643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2:DH11">
    <cfRule type="colorScale" priority="2643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H2:DH11">
    <cfRule type="colorScale" priority="2643332">
      <colorScale>
        <cfvo type="min"/>
        <cfvo type="max"/>
        <color rgb="FFFFEF9C"/>
        <color rgb="FF63BE7B"/>
      </colorScale>
    </cfRule>
    <cfRule type="colorScale" priority="2643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1">
    <cfRule type="colorScale" priority="2643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Y11">
    <cfRule type="colorScale" priority="2643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2:DI11">
    <cfRule type="colorScale" priority="2643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I1:DI11">
    <cfRule type="colorScale" priority="2643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1">
    <cfRule type="iconSet" priority="2643338">
      <iconSet iconSet="3Arrows">
        <cfvo type="percent" val="0"/>
        <cfvo type="num" val="60"/>
        <cfvo type="num" val="80"/>
      </iconSet>
    </cfRule>
    <cfRule type="colorScale" priority="2643339">
      <colorScale>
        <cfvo type="min"/>
        <cfvo type="num" val="75"/>
        <cfvo type="num" val="90"/>
        <color rgb="FFF8696B"/>
        <color rgb="FFFFEB84"/>
        <color rgb="FF63BE7B"/>
      </colorScale>
    </cfRule>
  </conditionalFormatting>
  <conditionalFormatting sqref="DZ2:DZ11">
    <cfRule type="dataBar" priority="2643340">
      <dataBar>
        <cfvo type="min"/>
        <cfvo type="max"/>
        <color theme="4" tint="-0.249977111117893"/>
      </dataBar>
      <extLst>
        <ext xmlns:x14="http://schemas.microsoft.com/office/spreadsheetml/2009/9/main" uri="{B025F937-C7B1-47D3-B67F-A62EFF666E3E}">
          <x14:id>{5EA88572-F783-4EDE-AB10-5F423FD4FA57}</x14:id>
        </ext>
      </extLst>
    </cfRule>
    <cfRule type="iconSet" priority="264334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35262B-D53E-42C8-9D2C-16F197CDE5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Y1:Y1048576</xm:sqref>
        </x14:conditionalFormatting>
        <x14:conditionalFormatting xmlns:xm="http://schemas.microsoft.com/office/excel/2006/main">
          <x14:cfRule type="dataBar" id="{F4307ECE-DDFB-4EED-8CCD-5828CE10257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  <x14:conditionalFormatting xmlns:xm="http://schemas.microsoft.com/office/excel/2006/main">
          <x14:cfRule type="dataBar" id="{EC63933C-443B-4657-A399-F99D3800429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AA1:AA1048576</xm:sqref>
        </x14:conditionalFormatting>
        <x14:conditionalFormatting xmlns:xm="http://schemas.microsoft.com/office/excel/2006/main">
          <x14:cfRule type="dataBar" id="{0BA079DB-7021-4E66-B11E-668B4097DC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AB1:AB1048576</xm:sqref>
        </x14:conditionalFormatting>
        <x14:conditionalFormatting xmlns:xm="http://schemas.microsoft.com/office/excel/2006/main">
          <x14:cfRule type="dataBar" id="{139F3135-4876-475D-B8CB-4675C9108B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dataBar" id="{306DA4D5-2BC7-43F0-895F-AB55DD738C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DX1:DX1048576</xm:sqref>
        </x14:conditionalFormatting>
        <x14:conditionalFormatting xmlns:xm="http://schemas.microsoft.com/office/excel/2006/main">
          <x14:cfRule type="dataBar" id="{2B53CF0C-FF8D-4FB2-AA45-1DFB9C9EE3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54C7EF68-0AE8-41C9-896E-D9EE0D5F8E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DY1:DY1048576</xm:sqref>
        </x14:conditionalFormatting>
        <x14:conditionalFormatting xmlns:xm="http://schemas.microsoft.com/office/excel/2006/main">
          <x14:cfRule type="dataBar" id="{7534BBED-DCC0-4DE9-8ABA-B8AA32E7A6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DZ1</xm:sqref>
        </x14:conditionalFormatting>
        <x14:conditionalFormatting xmlns:xm="http://schemas.microsoft.com/office/excel/2006/main">
          <x14:cfRule type="dataBar" id="{2D350DD9-2F9F-44A1-BBBD-7680AA84A7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202C4C10-8114-4B20-9F5A-ACA27CC70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  <x14:conditionalFormatting xmlns:xm="http://schemas.microsoft.com/office/excel/2006/main">
          <x14:cfRule type="dataBar" id="{13F6D464-159B-43BD-8153-4AE107642D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C7B3FE09-BE37-45F9-9D75-66FC24ADAD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CB11ED99-0583-4502-B023-9104B76DD1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U1:U1048576</xm:sqref>
        </x14:conditionalFormatting>
        <x14:conditionalFormatting xmlns:xm="http://schemas.microsoft.com/office/excel/2006/main">
          <x14:cfRule type="dataBar" id="{74BE4E89-FC0F-462A-9D04-6C26434AC1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V1:V1048576</xm:sqref>
        </x14:conditionalFormatting>
        <x14:conditionalFormatting xmlns:xm="http://schemas.microsoft.com/office/excel/2006/main">
          <x14:cfRule type="dataBar" id="{4F61216A-9890-4A3F-AD3A-3D79593520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DP1:DP1048576</xm:sqref>
        </x14:conditionalFormatting>
        <x14:conditionalFormatting xmlns:xm="http://schemas.microsoft.com/office/excel/2006/main">
          <x14:cfRule type="dataBar" id="{C22CB69F-8AFA-469D-867B-EBB7505D7A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W1:W1048576</xm:sqref>
        </x14:conditionalFormatting>
        <x14:conditionalFormatting xmlns:xm="http://schemas.microsoft.com/office/excel/2006/main">
          <x14:cfRule type="dataBar" id="{816D13F8-AAB9-4A33-B99E-DDD60221E94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X1:X1048576</xm:sqref>
        </x14:conditionalFormatting>
        <x14:conditionalFormatting xmlns:xm="http://schemas.microsoft.com/office/excel/2006/main">
          <x14:cfRule type="dataBar" id="{FF1729FC-947B-46DA-B287-7C50BDD74C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CF1:CF1048576</xm:sqref>
        </x14:conditionalFormatting>
        <x14:conditionalFormatting xmlns:xm="http://schemas.microsoft.com/office/excel/2006/main">
          <x14:cfRule type="dataBar" id="{43F72FDF-6FDF-495B-8D8B-55D6F00088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CB1:CB1048576</xm:sqref>
        </x14:conditionalFormatting>
        <x14:conditionalFormatting xmlns:xm="http://schemas.microsoft.com/office/excel/2006/main">
          <x14:cfRule type="dataBar" id="{F71E2755-10B1-447B-BB5D-E45FC9F021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CC1:CC1048576</xm:sqref>
        </x14:conditionalFormatting>
        <x14:conditionalFormatting xmlns:xm="http://schemas.microsoft.com/office/excel/2006/main">
          <x14:cfRule type="dataBar" id="{FA68727A-294D-464F-830A-5B3B6274613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CD1:CD1048576</xm:sqref>
        </x14:conditionalFormatting>
        <x14:conditionalFormatting xmlns:xm="http://schemas.microsoft.com/office/excel/2006/main">
          <x14:cfRule type="dataBar" id="{7D5D4EAA-D7BF-4F8D-ABCF-D193C6E986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CE1:CE1048576</xm:sqref>
        </x14:conditionalFormatting>
        <x14:conditionalFormatting xmlns:xm="http://schemas.microsoft.com/office/excel/2006/main">
          <x14:cfRule type="dataBar" id="{738BD825-FB36-434C-86CA-0E89EE02E3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CJ1:CJ1048576</xm:sqref>
        </x14:conditionalFormatting>
        <x14:conditionalFormatting xmlns:xm="http://schemas.microsoft.com/office/excel/2006/main">
          <x14:cfRule type="dataBar" id="{9C7E29E8-54C5-44D9-BC5C-FD9EB8BE75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CI1:CI1048576</xm:sqref>
        </x14:conditionalFormatting>
        <x14:conditionalFormatting xmlns:xm="http://schemas.microsoft.com/office/excel/2006/main">
          <x14:cfRule type="dataBar" id="{4BF6CCD0-4735-4DD5-BDB2-6310B12B08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CG1:CG1048576</xm:sqref>
        </x14:conditionalFormatting>
        <x14:conditionalFormatting xmlns:xm="http://schemas.microsoft.com/office/excel/2006/main">
          <x14:cfRule type="dataBar" id="{7BB6B725-CD90-471A-A87E-12337C8B22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CH1:CH1048576</xm:sqref>
        </x14:conditionalFormatting>
        <x14:conditionalFormatting xmlns:xm="http://schemas.microsoft.com/office/excel/2006/main">
          <x14:cfRule type="dataBar" id="{C54DB846-AC6C-4F1D-AB97-B3A6F192CA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CX1:CX1048576</xm:sqref>
        </x14:conditionalFormatting>
        <x14:conditionalFormatting xmlns:xm="http://schemas.microsoft.com/office/excel/2006/main">
          <x14:cfRule type="dataBar" id="{88120B67-3E32-440F-BB7F-A0286DBBDB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CY1:CY1048576</xm:sqref>
        </x14:conditionalFormatting>
        <x14:conditionalFormatting xmlns:xm="http://schemas.microsoft.com/office/excel/2006/main">
          <x14:cfRule type="dataBar" id="{5EA88572-F783-4EDE-AB10-5F423FD4F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DZ2:DZ11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🧤Goleiros</vt:lpstr>
      <vt:lpstr>🧱Zagueiros</vt:lpstr>
      <vt:lpstr>🛡️Laterais</vt:lpstr>
      <vt:lpstr>🛡️Volantes</vt:lpstr>
      <vt:lpstr>🏃‍♂️Box-To-Box</vt:lpstr>
      <vt:lpstr>🎯Armadores</vt:lpstr>
      <vt:lpstr>⚽Avançados</vt:lpstr>
      <vt:lpstr>📊Time Estatísticas</vt:lpstr>
      <vt:lpstr>💪Placar de Esforço</vt:lpstr>
      <vt:lpstr>🔍Overall 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Allan Ferracioli</cp:lastModifiedBy>
  <cp:lastPrinted>2023-08-07T09:15:15Z</cp:lastPrinted>
  <dcterms:created xsi:type="dcterms:W3CDTF">2015-06-05T18:19:34Z</dcterms:created>
  <dcterms:modified xsi:type="dcterms:W3CDTF">2026-05-12T10:10:04Z</dcterms:modified>
</cp:coreProperties>
</file>